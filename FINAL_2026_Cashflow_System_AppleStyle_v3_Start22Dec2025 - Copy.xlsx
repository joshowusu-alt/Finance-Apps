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7d46c2aa3b1c9c/Tools/2026/"/>
    </mc:Choice>
  </mc:AlternateContent>
  <xr:revisionPtr revIDLastSave="621" documentId="11_E2CC56FBCA87A9DA74BF58DB0624BE15937480E0" xr6:coauthVersionLast="47" xr6:coauthVersionMax="47" xr10:uidLastSave="{344568B4-036A-42B7-904E-AF303113AC13}"/>
  <bookViews>
    <workbookView xWindow="-108" yWindow="-108" windowWidth="23256" windowHeight="13896" xr2:uid="{00000000-000D-0000-FFFF-FFFF00000000}"/>
  </bookViews>
  <sheets>
    <sheet name="Setup" sheetId="1" r:id="rId1"/>
    <sheet name="Mental Allocations" sheetId="2" r:id="rId2"/>
    <sheet name="Periods 26-25" sheetId="3" r:id="rId3"/>
    <sheet name="Income Schedule" sheetId="4" r:id="rId4"/>
    <sheet name="Transactions" sheetId="5" r:id="rId5"/>
    <sheet name="Bills Schedule" sheetId="6" r:id="rId6"/>
    <sheet name="Budget by Period" sheetId="7" r:id="rId7"/>
    <sheet name="Dashboard" sheetId="8" r:id="rId8"/>
    <sheet name="How to Use" sheetId="9" r:id="rId9"/>
    <sheet name="Upcoming Bills" sheetId="10" r:id="rId10"/>
    <sheet name="Upcoming Income" sheetId="11" r:id="rId11"/>
    <sheet name="Cashflow Timelin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0" l="1"/>
  <c r="Q8" i="6"/>
  <c r="O8" i="6"/>
  <c r="P5" i="6"/>
  <c r="P6" i="6"/>
  <c r="P7" i="6"/>
  <c r="P4" i="6"/>
  <c r="P8" i="6" s="1"/>
  <c r="S13" i="6"/>
  <c r="T16" i="6" s="1"/>
  <c r="B6" i="8"/>
  <c r="D8" i="8"/>
  <c r="A29" i="6"/>
  <c r="A28" i="6"/>
  <c r="I37" i="5"/>
  <c r="M12" i="8"/>
  <c r="E12" i="8"/>
  <c r="C27" i="10"/>
  <c r="D27" i="10"/>
  <c r="G27" i="10"/>
  <c r="D88" i="4"/>
  <c r="D5" i="4"/>
  <c r="D4" i="4"/>
  <c r="E22" i="7"/>
  <c r="D22" i="7"/>
  <c r="F20" i="6"/>
  <c r="G20" i="6" s="1"/>
  <c r="I21" i="6"/>
  <c r="I27" i="6" s="1"/>
  <c r="L16" i="6"/>
  <c r="J17" i="6"/>
  <c r="J19" i="6" s="1"/>
  <c r="E10" i="8"/>
  <c r="D20" i="7"/>
  <c r="E20" i="7"/>
  <c r="G20" i="7"/>
  <c r="H20" i="7"/>
  <c r="I20" i="7" s="1"/>
  <c r="J20" i="7"/>
  <c r="K20" i="7"/>
  <c r="L20" i="7" s="1"/>
  <c r="M20" i="7"/>
  <c r="N20" i="7"/>
  <c r="O20" i="7" s="1"/>
  <c r="P20" i="7"/>
  <c r="Q20" i="7"/>
  <c r="R20" i="7" s="1"/>
  <c r="S20" i="7"/>
  <c r="T20" i="7"/>
  <c r="V20" i="7"/>
  <c r="W20" i="7"/>
  <c r="X20" i="7" s="1"/>
  <c r="Y20" i="7"/>
  <c r="Z20" i="7"/>
  <c r="AA20" i="7" s="1"/>
  <c r="AB20" i="7"/>
  <c r="AC20" i="7"/>
  <c r="AD20" i="7" s="1"/>
  <c r="AE20" i="7"/>
  <c r="AF20" i="7"/>
  <c r="AG20" i="7" s="1"/>
  <c r="AH20" i="7"/>
  <c r="AI20" i="7"/>
  <c r="AJ20" i="7" s="1"/>
  <c r="AK20" i="7"/>
  <c r="AL20" i="7"/>
  <c r="D21" i="7"/>
  <c r="E21" i="7"/>
  <c r="F21" i="7" s="1"/>
  <c r="G21" i="7"/>
  <c r="H21" i="7"/>
  <c r="I21" i="7" s="1"/>
  <c r="J21" i="7"/>
  <c r="K21" i="7"/>
  <c r="M21" i="7"/>
  <c r="N21" i="7"/>
  <c r="O21" i="7" s="1"/>
  <c r="P21" i="7"/>
  <c r="Q21" i="7"/>
  <c r="R21" i="7" s="1"/>
  <c r="S21" i="7"/>
  <c r="T21" i="7"/>
  <c r="V21" i="7"/>
  <c r="W21" i="7"/>
  <c r="X21" i="7" s="1"/>
  <c r="Y21" i="7"/>
  <c r="Z21" i="7"/>
  <c r="AA21" i="7" s="1"/>
  <c r="AB21" i="7"/>
  <c r="AC21" i="7"/>
  <c r="AD21" i="7" s="1"/>
  <c r="AE21" i="7"/>
  <c r="AF21" i="7"/>
  <c r="AH21" i="7"/>
  <c r="AI21" i="7"/>
  <c r="AK21" i="7"/>
  <c r="AL21" i="7"/>
  <c r="AM21" i="7" s="1"/>
  <c r="F19" i="6"/>
  <c r="G19" i="6" s="1"/>
  <c r="F18" i="6"/>
  <c r="G18" i="6" s="1"/>
  <c r="C26" i="10"/>
  <c r="G26" i="10"/>
  <c r="C25" i="10"/>
  <c r="G25" i="10"/>
  <c r="C24" i="10"/>
  <c r="E21" i="5"/>
  <c r="A130" i="12"/>
  <c r="A128" i="12"/>
  <c r="E128" i="12" s="1"/>
  <c r="A126" i="12"/>
  <c r="F126" i="12" s="1"/>
  <c r="A124" i="12"/>
  <c r="C124" i="12" s="1"/>
  <c r="A122" i="12"/>
  <c r="F122" i="12" s="1"/>
  <c r="A120" i="12"/>
  <c r="A118" i="12"/>
  <c r="B118" i="12" s="1"/>
  <c r="A116" i="12"/>
  <c r="A114" i="12"/>
  <c r="A112" i="12"/>
  <c r="A110" i="12"/>
  <c r="B110" i="12" s="1"/>
  <c r="A108" i="12"/>
  <c r="D108" i="12" s="1"/>
  <c r="A106" i="12"/>
  <c r="B106" i="12" s="1"/>
  <c r="A104" i="12"/>
  <c r="F104" i="12" s="1"/>
  <c r="A102" i="12"/>
  <c r="C102" i="12" s="1"/>
  <c r="A100" i="12"/>
  <c r="B100" i="12" s="1"/>
  <c r="A98" i="12"/>
  <c r="A96" i="12"/>
  <c r="F96" i="12" s="1"/>
  <c r="A94" i="12"/>
  <c r="E94" i="12" s="1"/>
  <c r="A92" i="12"/>
  <c r="A90" i="12"/>
  <c r="E90" i="12" s="1"/>
  <c r="A88" i="12"/>
  <c r="B88" i="12" s="1"/>
  <c r="A86" i="12"/>
  <c r="A84" i="12"/>
  <c r="C84" i="12" s="1"/>
  <c r="A82" i="12"/>
  <c r="C82" i="12" s="1"/>
  <c r="A80" i="12"/>
  <c r="A78" i="12"/>
  <c r="E78" i="12" s="1"/>
  <c r="A76" i="12"/>
  <c r="F76" i="12" s="1"/>
  <c r="A74" i="12"/>
  <c r="E74" i="12" s="1"/>
  <c r="A72" i="12"/>
  <c r="F72" i="12" s="1"/>
  <c r="A70" i="12"/>
  <c r="D70" i="12" s="1"/>
  <c r="A68" i="12"/>
  <c r="B68" i="12" s="1"/>
  <c r="A66" i="12"/>
  <c r="B66" i="12" s="1"/>
  <c r="A64" i="12"/>
  <c r="F64" i="12" s="1"/>
  <c r="A62" i="12"/>
  <c r="E62" i="12" s="1"/>
  <c r="A60" i="12"/>
  <c r="A58" i="12"/>
  <c r="C58" i="12" s="1"/>
  <c r="A56" i="12"/>
  <c r="B56" i="12" s="1"/>
  <c r="A54" i="12"/>
  <c r="D54" i="12" s="1"/>
  <c r="A52" i="12"/>
  <c r="B52" i="12" s="1"/>
  <c r="A50" i="12"/>
  <c r="C50" i="12" s="1"/>
  <c r="A48" i="12"/>
  <c r="A46" i="12"/>
  <c r="B46" i="12" s="1"/>
  <c r="A44" i="12"/>
  <c r="F44" i="12" s="1"/>
  <c r="A42" i="12"/>
  <c r="D42" i="12" s="1"/>
  <c r="M10" i="12"/>
  <c r="E10" i="12"/>
  <c r="I10" i="12" s="1"/>
  <c r="A10" i="12"/>
  <c r="E4" i="12"/>
  <c r="A131" i="12" s="1"/>
  <c r="B4" i="12"/>
  <c r="A38" i="12" s="1"/>
  <c r="I9" i="11"/>
  <c r="M8" i="11"/>
  <c r="I8" i="11"/>
  <c r="I7" i="11"/>
  <c r="B4" i="11"/>
  <c r="A8" i="11" s="1"/>
  <c r="G24" i="10"/>
  <c r="G23" i="10"/>
  <c r="C23" i="10"/>
  <c r="G22" i="10"/>
  <c r="C22" i="10"/>
  <c r="G21" i="10"/>
  <c r="C21" i="10"/>
  <c r="G20" i="10"/>
  <c r="C20" i="10"/>
  <c r="G19" i="10"/>
  <c r="C19" i="10"/>
  <c r="G18" i="10"/>
  <c r="C18" i="10"/>
  <c r="G17" i="10"/>
  <c r="C17" i="10"/>
  <c r="G16" i="10"/>
  <c r="C16" i="10"/>
  <c r="G15" i="10"/>
  <c r="C15" i="10"/>
  <c r="G14" i="10"/>
  <c r="C14" i="10"/>
  <c r="G13" i="10"/>
  <c r="C13" i="10"/>
  <c r="G12" i="10"/>
  <c r="C12" i="10"/>
  <c r="G11" i="10"/>
  <c r="C11" i="10"/>
  <c r="G10" i="10"/>
  <c r="C10" i="10"/>
  <c r="E4" i="10"/>
  <c r="B4" i="10"/>
  <c r="D26" i="10" s="1"/>
  <c r="B61" i="8"/>
  <c r="I12" i="8"/>
  <c r="A12" i="8"/>
  <c r="K10" i="8"/>
  <c r="C10" i="8"/>
  <c r="B10" i="8"/>
  <c r="A8" i="8"/>
  <c r="D5" i="8"/>
  <c r="B5" i="8"/>
  <c r="A5" i="8"/>
  <c r="B3" i="8"/>
  <c r="AL25" i="7"/>
  <c r="F21" i="8" s="1"/>
  <c r="AK25" i="7"/>
  <c r="AI25" i="7"/>
  <c r="AH25" i="7"/>
  <c r="AF25" i="7"/>
  <c r="D73" i="8" s="1"/>
  <c r="AE25" i="7"/>
  <c r="AC25" i="7"/>
  <c r="F18" i="8" s="1"/>
  <c r="AB25" i="7"/>
  <c r="Z25" i="7"/>
  <c r="Y25" i="7"/>
  <c r="W25" i="7"/>
  <c r="V25" i="7"/>
  <c r="T25" i="7"/>
  <c r="S25" i="7"/>
  <c r="Q25" i="7"/>
  <c r="P25" i="7"/>
  <c r="N25" i="7"/>
  <c r="M25" i="7"/>
  <c r="K25" i="7"/>
  <c r="J25" i="7"/>
  <c r="H25" i="7"/>
  <c r="D65" i="8" s="1"/>
  <c r="G25" i="7"/>
  <c r="E25" i="7"/>
  <c r="F10" i="8" s="1"/>
  <c r="D25" i="7"/>
  <c r="AK24" i="7"/>
  <c r="AH24" i="7"/>
  <c r="AE24" i="7"/>
  <c r="AB24" i="7"/>
  <c r="Y24" i="7"/>
  <c r="V24" i="7"/>
  <c r="S24" i="7"/>
  <c r="P24" i="7"/>
  <c r="M24" i="7"/>
  <c r="J24" i="7"/>
  <c r="G24" i="7"/>
  <c r="D24" i="7"/>
  <c r="AK23" i="7"/>
  <c r="AH23" i="7"/>
  <c r="AE23" i="7"/>
  <c r="AB23" i="7"/>
  <c r="Y23" i="7"/>
  <c r="W23" i="7"/>
  <c r="V23" i="7"/>
  <c r="T23" i="7"/>
  <c r="S23" i="7"/>
  <c r="P23" i="7"/>
  <c r="N23" i="7"/>
  <c r="M23" i="7"/>
  <c r="J23" i="7"/>
  <c r="G23" i="7"/>
  <c r="E23" i="7"/>
  <c r="I62" i="8" s="1"/>
  <c r="D23" i="7"/>
  <c r="AL19" i="7"/>
  <c r="AK19" i="7"/>
  <c r="AI19" i="7"/>
  <c r="AH19" i="7"/>
  <c r="AF19" i="7"/>
  <c r="AE19" i="7"/>
  <c r="AC19" i="7"/>
  <c r="AB19" i="7"/>
  <c r="Z19" i="7"/>
  <c r="Y19" i="7"/>
  <c r="W19" i="7"/>
  <c r="V19" i="7"/>
  <c r="T19" i="7"/>
  <c r="S19" i="7"/>
  <c r="Q19" i="7"/>
  <c r="P19" i="7"/>
  <c r="N19" i="7"/>
  <c r="M19" i="7"/>
  <c r="K19" i="7"/>
  <c r="J19" i="7"/>
  <c r="H19" i="7"/>
  <c r="G19" i="7"/>
  <c r="E19" i="7"/>
  <c r="I69" i="8" s="1"/>
  <c r="D19" i="7"/>
  <c r="AL18" i="7"/>
  <c r="AK18" i="7"/>
  <c r="AI18" i="7"/>
  <c r="AH18" i="7"/>
  <c r="AF18" i="7"/>
  <c r="AE18" i="7"/>
  <c r="AC18" i="7"/>
  <c r="AB18" i="7"/>
  <c r="Z18" i="7"/>
  <c r="Y18" i="7"/>
  <c r="W18" i="7"/>
  <c r="V18" i="7"/>
  <c r="T18" i="7"/>
  <c r="S18" i="7"/>
  <c r="Q18" i="7"/>
  <c r="P18" i="7"/>
  <c r="N18" i="7"/>
  <c r="M18" i="7"/>
  <c r="K18" i="7"/>
  <c r="J18" i="7"/>
  <c r="H18" i="7"/>
  <c r="G18" i="7"/>
  <c r="E18" i="7"/>
  <c r="I68" i="8" s="1"/>
  <c r="D18" i="7"/>
  <c r="AL17" i="7"/>
  <c r="AM17" i="7" s="1"/>
  <c r="AK17" i="7"/>
  <c r="AI17" i="7"/>
  <c r="AH17" i="7"/>
  <c r="AF17" i="7"/>
  <c r="AE17" i="7"/>
  <c r="AC17" i="7"/>
  <c r="AB17" i="7"/>
  <c r="Z17" i="7"/>
  <c r="Y17" i="7"/>
  <c r="W17" i="7"/>
  <c r="V17" i="7"/>
  <c r="T17" i="7"/>
  <c r="S17" i="7"/>
  <c r="Q17" i="7"/>
  <c r="P17" i="7"/>
  <c r="N17" i="7"/>
  <c r="O17" i="7" s="1"/>
  <c r="M17" i="7"/>
  <c r="K17" i="7"/>
  <c r="J17" i="7"/>
  <c r="H17" i="7"/>
  <c r="G17" i="7"/>
  <c r="E17" i="7"/>
  <c r="D17" i="7"/>
  <c r="AK16" i="7"/>
  <c r="AI16" i="7"/>
  <c r="AH16" i="7"/>
  <c r="AF16" i="7"/>
  <c r="AE16" i="7"/>
  <c r="AC16" i="7"/>
  <c r="AB16" i="7"/>
  <c r="Z16" i="7"/>
  <c r="AA16" i="7" s="1"/>
  <c r="Y16" i="7"/>
  <c r="V16" i="7"/>
  <c r="S16" i="7"/>
  <c r="P16" i="7"/>
  <c r="N16" i="7"/>
  <c r="M16" i="7"/>
  <c r="K16" i="7"/>
  <c r="J16" i="7"/>
  <c r="H16" i="7"/>
  <c r="G16" i="7"/>
  <c r="E16" i="7"/>
  <c r="D16" i="7"/>
  <c r="AL15" i="7"/>
  <c r="AK15" i="7"/>
  <c r="AI15" i="7"/>
  <c r="AH15" i="7"/>
  <c r="AF15" i="7"/>
  <c r="AE15" i="7"/>
  <c r="AC15" i="7"/>
  <c r="AB15" i="7"/>
  <c r="Z15" i="7"/>
  <c r="Y15" i="7"/>
  <c r="W15" i="7"/>
  <c r="V15" i="7"/>
  <c r="T15" i="7"/>
  <c r="S15" i="7"/>
  <c r="Q15" i="7"/>
  <c r="P15" i="7"/>
  <c r="N15" i="7"/>
  <c r="M15" i="7"/>
  <c r="K15" i="7"/>
  <c r="J15" i="7"/>
  <c r="H15" i="7"/>
  <c r="G15" i="7"/>
  <c r="E15" i="7"/>
  <c r="D15" i="7"/>
  <c r="AL14" i="7"/>
  <c r="AK14" i="7"/>
  <c r="AH14" i="7"/>
  <c r="AF14" i="7"/>
  <c r="AE14" i="7"/>
  <c r="AC14" i="7"/>
  <c r="AB14" i="7"/>
  <c r="Y14" i="7"/>
  <c r="V14" i="7"/>
  <c r="S14" i="7"/>
  <c r="P14" i="7"/>
  <c r="N14" i="7"/>
  <c r="M14" i="7"/>
  <c r="K14" i="7"/>
  <c r="J14" i="7"/>
  <c r="H14" i="7"/>
  <c r="G14" i="7"/>
  <c r="D14" i="7"/>
  <c r="AL13" i="7"/>
  <c r="AK13" i="7"/>
  <c r="AI13" i="7"/>
  <c r="AH13" i="7"/>
  <c r="AF13" i="7"/>
  <c r="AE13" i="7"/>
  <c r="AC13" i="7"/>
  <c r="AD13" i="7" s="1"/>
  <c r="AB13" i="7"/>
  <c r="Z13" i="7"/>
  <c r="Y13" i="7"/>
  <c r="W13" i="7"/>
  <c r="V13" i="7"/>
  <c r="T13" i="7"/>
  <c r="S13" i="7"/>
  <c r="Q13" i="7"/>
  <c r="P13" i="7"/>
  <c r="N13" i="7"/>
  <c r="M13" i="7"/>
  <c r="K13" i="7"/>
  <c r="J13" i="7"/>
  <c r="H13" i="7"/>
  <c r="G13" i="7"/>
  <c r="E13" i="7"/>
  <c r="F13" i="7" s="1"/>
  <c r="D13" i="7"/>
  <c r="AL12" i="7"/>
  <c r="AK12" i="7"/>
  <c r="AI12" i="7"/>
  <c r="AH12" i="7"/>
  <c r="AF12" i="7"/>
  <c r="AE12" i="7"/>
  <c r="AC12" i="7"/>
  <c r="AB12" i="7"/>
  <c r="Z12" i="7"/>
  <c r="Y12" i="7"/>
  <c r="W12" i="7"/>
  <c r="V12" i="7"/>
  <c r="T12" i="7"/>
  <c r="S12" i="7"/>
  <c r="Q12" i="7"/>
  <c r="R12" i="7" s="1"/>
  <c r="P12" i="7"/>
  <c r="N12" i="7"/>
  <c r="M12" i="7"/>
  <c r="K12" i="7"/>
  <c r="J12" i="7"/>
  <c r="H12" i="7"/>
  <c r="G12" i="7"/>
  <c r="E12" i="7"/>
  <c r="D12" i="7"/>
  <c r="AL11" i="7"/>
  <c r="AK11" i="7"/>
  <c r="AI11" i="7"/>
  <c r="AH11" i="7"/>
  <c r="AF11" i="7"/>
  <c r="AE11" i="7"/>
  <c r="AC11" i="7"/>
  <c r="AD11" i="7" s="1"/>
  <c r="AB11" i="7"/>
  <c r="Z11" i="7"/>
  <c r="Y11" i="7"/>
  <c r="W11" i="7"/>
  <c r="V11" i="7"/>
  <c r="T11" i="7"/>
  <c r="S11" i="7"/>
  <c r="Q11" i="7"/>
  <c r="P11" i="7"/>
  <c r="N11" i="7"/>
  <c r="M11" i="7"/>
  <c r="K11" i="7"/>
  <c r="J11" i="7"/>
  <c r="H11" i="7"/>
  <c r="G11" i="7"/>
  <c r="E11" i="7"/>
  <c r="F11" i="7" s="1"/>
  <c r="D11" i="7"/>
  <c r="AL10" i="7"/>
  <c r="AK10" i="7"/>
  <c r="AI10" i="7"/>
  <c r="AH10" i="7"/>
  <c r="AF10" i="7"/>
  <c r="AE10" i="7"/>
  <c r="AC10" i="7"/>
  <c r="AB10" i="7"/>
  <c r="Z10" i="7"/>
  <c r="Y10" i="7"/>
  <c r="W10" i="7"/>
  <c r="V10" i="7"/>
  <c r="T10" i="7"/>
  <c r="S10" i="7"/>
  <c r="Q10" i="7"/>
  <c r="R10" i="7" s="1"/>
  <c r="P10" i="7"/>
  <c r="N10" i="7"/>
  <c r="M10" i="7"/>
  <c r="K10" i="7"/>
  <c r="J10" i="7"/>
  <c r="H10" i="7"/>
  <c r="G10" i="7"/>
  <c r="E10" i="7"/>
  <c r="I67" i="8" s="1"/>
  <c r="D10" i="7"/>
  <c r="AL9" i="7"/>
  <c r="AK9" i="7"/>
  <c r="AI9" i="7"/>
  <c r="AH9" i="7"/>
  <c r="AF9" i="7"/>
  <c r="AE9" i="7"/>
  <c r="AC9" i="7"/>
  <c r="AB9" i="7"/>
  <c r="Z9" i="7"/>
  <c r="Y9" i="7"/>
  <c r="W9" i="7"/>
  <c r="V9" i="7"/>
  <c r="T9" i="7"/>
  <c r="S9" i="7"/>
  <c r="Q9" i="7"/>
  <c r="P9" i="7"/>
  <c r="N9" i="7"/>
  <c r="M9" i="7"/>
  <c r="K9" i="7"/>
  <c r="J9" i="7"/>
  <c r="H9" i="7"/>
  <c r="G9" i="7"/>
  <c r="E9" i="7"/>
  <c r="I64" i="8" s="1"/>
  <c r="D9" i="7"/>
  <c r="AL8" i="7"/>
  <c r="AK8" i="7"/>
  <c r="AI8" i="7"/>
  <c r="AH8" i="7"/>
  <c r="AF8" i="7"/>
  <c r="AE8" i="7"/>
  <c r="AC8" i="7"/>
  <c r="AB8" i="7"/>
  <c r="Z8" i="7"/>
  <c r="Y8" i="7"/>
  <c r="W8" i="7"/>
  <c r="V8" i="7"/>
  <c r="T8" i="7"/>
  <c r="S8" i="7"/>
  <c r="Q8" i="7"/>
  <c r="R8" i="7" s="1"/>
  <c r="P8" i="7"/>
  <c r="N8" i="7"/>
  <c r="O8" i="7" s="1"/>
  <c r="M8" i="7"/>
  <c r="K8" i="7"/>
  <c r="J8" i="7"/>
  <c r="H8" i="7"/>
  <c r="G8" i="7"/>
  <c r="E8" i="7"/>
  <c r="D8" i="7"/>
  <c r="AL7" i="7"/>
  <c r="AK7" i="7"/>
  <c r="AI7" i="7"/>
  <c r="AH7" i="7"/>
  <c r="AF7" i="7"/>
  <c r="AE7" i="7"/>
  <c r="AC7" i="7"/>
  <c r="AD7" i="7" s="1"/>
  <c r="AB7" i="7"/>
  <c r="Z7" i="7"/>
  <c r="AA7" i="7" s="1"/>
  <c r="Y7" i="7"/>
  <c r="W7" i="7"/>
  <c r="V7" i="7"/>
  <c r="T7" i="7"/>
  <c r="S7" i="7"/>
  <c r="Q7" i="7"/>
  <c r="P7" i="7"/>
  <c r="N7" i="7"/>
  <c r="M7" i="7"/>
  <c r="K7" i="7"/>
  <c r="J7" i="7"/>
  <c r="H7" i="7"/>
  <c r="G7" i="7"/>
  <c r="E7" i="7"/>
  <c r="F7" i="7" s="1"/>
  <c r="D7" i="7"/>
  <c r="AL6" i="7"/>
  <c r="AM6" i="7" s="1"/>
  <c r="AK6" i="7"/>
  <c r="AI6" i="7"/>
  <c r="AH6" i="7"/>
  <c r="AF6" i="7"/>
  <c r="AE6" i="7"/>
  <c r="AC6" i="7"/>
  <c r="AB6" i="7"/>
  <c r="Z6" i="7"/>
  <c r="Y6" i="7"/>
  <c r="W6" i="7"/>
  <c r="V6" i="7"/>
  <c r="T6" i="7"/>
  <c r="S6" i="7"/>
  <c r="Q6" i="7"/>
  <c r="P6" i="7"/>
  <c r="N6" i="7"/>
  <c r="O6" i="7" s="1"/>
  <c r="M6" i="7"/>
  <c r="K6" i="7"/>
  <c r="J6" i="7"/>
  <c r="H6" i="7"/>
  <c r="G6" i="7"/>
  <c r="E6" i="7"/>
  <c r="I66" i="8" s="1"/>
  <c r="D6" i="7"/>
  <c r="AL5" i="7"/>
  <c r="AK5" i="7"/>
  <c r="AI5" i="7"/>
  <c r="AH5" i="7"/>
  <c r="AF5" i="7"/>
  <c r="AE5" i="7"/>
  <c r="AC5" i="7"/>
  <c r="AB5" i="7"/>
  <c r="Z5" i="7"/>
  <c r="AA5" i="7" s="1"/>
  <c r="Y5" i="7"/>
  <c r="W5" i="7"/>
  <c r="V5" i="7"/>
  <c r="T5" i="7"/>
  <c r="S5" i="7"/>
  <c r="Q5" i="7"/>
  <c r="P5" i="7"/>
  <c r="N5" i="7"/>
  <c r="M5" i="7"/>
  <c r="K5" i="7"/>
  <c r="J5" i="7"/>
  <c r="H5" i="7"/>
  <c r="G5" i="7"/>
  <c r="E5" i="7"/>
  <c r="I65" i="8" s="1"/>
  <c r="D5" i="7"/>
  <c r="AL4" i="7"/>
  <c r="AK4" i="7"/>
  <c r="AI4" i="7"/>
  <c r="AH4" i="7"/>
  <c r="AF4" i="7"/>
  <c r="AE4" i="7"/>
  <c r="AC4" i="7"/>
  <c r="AB4" i="7"/>
  <c r="Z4" i="7"/>
  <c r="Y4" i="7"/>
  <c r="W4" i="7"/>
  <c r="V4" i="7"/>
  <c r="T4" i="7"/>
  <c r="S4" i="7"/>
  <c r="Q4" i="7"/>
  <c r="R4" i="7" s="1"/>
  <c r="P4" i="7"/>
  <c r="N4" i="7"/>
  <c r="O4" i="7" s="1"/>
  <c r="M4" i="7"/>
  <c r="K4" i="7"/>
  <c r="J4" i="7"/>
  <c r="H4" i="7"/>
  <c r="G4" i="7"/>
  <c r="E4" i="7"/>
  <c r="D4" i="7"/>
  <c r="AL3" i="7"/>
  <c r="AK3" i="7"/>
  <c r="AI3" i="7"/>
  <c r="AH3" i="7"/>
  <c r="AF3" i="7"/>
  <c r="AE3" i="7"/>
  <c r="AC3" i="7"/>
  <c r="AB3" i="7"/>
  <c r="Z3" i="7"/>
  <c r="AA3" i="7" s="1"/>
  <c r="Y3" i="7"/>
  <c r="W3" i="7"/>
  <c r="V3" i="7"/>
  <c r="T3" i="7"/>
  <c r="S3" i="7"/>
  <c r="Q3" i="7"/>
  <c r="P3" i="7"/>
  <c r="N3" i="7"/>
  <c r="M3" i="7"/>
  <c r="K3" i="7"/>
  <c r="J3" i="7"/>
  <c r="H3" i="7"/>
  <c r="G3" i="7"/>
  <c r="E3" i="7"/>
  <c r="F3" i="7" s="1"/>
  <c r="D3" i="7"/>
  <c r="AL2" i="7"/>
  <c r="AK2" i="7"/>
  <c r="AI2" i="7"/>
  <c r="AH2" i="7"/>
  <c r="AF2" i="7"/>
  <c r="AE2" i="7"/>
  <c r="AC2" i="7"/>
  <c r="AB2" i="7"/>
  <c r="Z2" i="7"/>
  <c r="Y2" i="7"/>
  <c r="W2" i="7"/>
  <c r="V2" i="7"/>
  <c r="T2" i="7"/>
  <c r="S2" i="7"/>
  <c r="Q2" i="7"/>
  <c r="P2" i="7"/>
  <c r="N2" i="7"/>
  <c r="M2" i="7"/>
  <c r="K2" i="7"/>
  <c r="J2" i="7"/>
  <c r="H2" i="7"/>
  <c r="G2" i="7"/>
  <c r="E2" i="7"/>
  <c r="D2" i="7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7" i="6"/>
  <c r="G7" i="6" s="1"/>
  <c r="F6" i="6"/>
  <c r="G6" i="6" s="1"/>
  <c r="F5" i="6"/>
  <c r="G5" i="6" s="1"/>
  <c r="F4" i="6"/>
  <c r="G4" i="6" s="1"/>
  <c r="F3" i="6"/>
  <c r="G3" i="6" s="1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6" i="5"/>
  <c r="I35" i="5"/>
  <c r="I34" i="5"/>
  <c r="I33" i="5"/>
  <c r="F9" i="6" s="1"/>
  <c r="G9" i="6" s="1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H23" i="7" s="1"/>
  <c r="I4" i="5"/>
  <c r="I3" i="5"/>
  <c r="I2" i="5"/>
  <c r="C97" i="4"/>
  <c r="C96" i="4"/>
  <c r="D94" i="4"/>
  <c r="C94" i="4"/>
  <c r="D93" i="4"/>
  <c r="C93" i="4"/>
  <c r="D92" i="4"/>
  <c r="C92" i="4"/>
  <c r="D91" i="4"/>
  <c r="C91" i="4"/>
  <c r="D90" i="4"/>
  <c r="C90" i="4"/>
  <c r="D89" i="4"/>
  <c r="C89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C5" i="4"/>
  <c r="C4" i="4"/>
  <c r="D3" i="4"/>
  <c r="C3" i="4"/>
  <c r="B11" i="2"/>
  <c r="B10" i="2"/>
  <c r="B9" i="2"/>
  <c r="B7" i="2"/>
  <c r="B12" i="2" s="1"/>
  <c r="E4" i="2"/>
  <c r="B4" i="2"/>
  <c r="B49" i="1"/>
  <c r="B8" i="2" s="1"/>
  <c r="F27" i="10" l="1"/>
  <c r="E27" i="10"/>
  <c r="B76" i="12"/>
  <c r="S14" i="6"/>
  <c r="AJ21" i="7"/>
  <c r="L21" i="7"/>
  <c r="E26" i="10"/>
  <c r="G82" i="4"/>
  <c r="H83" i="4" s="1"/>
  <c r="G3" i="4"/>
  <c r="H4" i="4" s="1"/>
  <c r="F22" i="7"/>
  <c r="AL16" i="7"/>
  <c r="AM16" i="7" s="1"/>
  <c r="Q16" i="7"/>
  <c r="R16" i="7" s="1"/>
  <c r="T16" i="7"/>
  <c r="U16" i="7" s="1"/>
  <c r="W16" i="7"/>
  <c r="X16" i="7" s="1"/>
  <c r="G27" i="4"/>
  <c r="H28" i="4" s="1"/>
  <c r="G35" i="4"/>
  <c r="H36" i="4" s="1"/>
  <c r="G83" i="4"/>
  <c r="H84" i="4" s="1"/>
  <c r="G63" i="4"/>
  <c r="H64" i="4" s="1"/>
  <c r="G14" i="4"/>
  <c r="H15" i="4" s="1"/>
  <c r="G69" i="4"/>
  <c r="H70" i="4" s="1"/>
  <c r="G49" i="4"/>
  <c r="H50" i="4" s="1"/>
  <c r="G36" i="4"/>
  <c r="H37" i="4" s="1"/>
  <c r="G44" i="4"/>
  <c r="H45" i="4" s="1"/>
  <c r="G73" i="4"/>
  <c r="H74" i="4" s="1"/>
  <c r="G18" i="4"/>
  <c r="H19" i="4" s="1"/>
  <c r="G64" i="4"/>
  <c r="H65" i="4" s="1"/>
  <c r="G23" i="4"/>
  <c r="H24" i="4" s="1"/>
  <c r="G93" i="4"/>
  <c r="H94" i="4" s="1"/>
  <c r="G10" i="4"/>
  <c r="H11" i="4" s="1"/>
  <c r="G31" i="4"/>
  <c r="H32" i="4" s="1"/>
  <c r="G59" i="4"/>
  <c r="H60" i="4" s="1"/>
  <c r="G45" i="4"/>
  <c r="H46" i="4" s="1"/>
  <c r="G74" i="4"/>
  <c r="H75" i="4" s="1"/>
  <c r="G88" i="4"/>
  <c r="H89" i="4" s="1"/>
  <c r="G22" i="4"/>
  <c r="H23" i="4" s="1"/>
  <c r="G78" i="4"/>
  <c r="H79" i="4" s="1"/>
  <c r="G87" i="4"/>
  <c r="H88" i="4" s="1"/>
  <c r="G5" i="4"/>
  <c r="H6" i="4" s="1"/>
  <c r="G40" i="4"/>
  <c r="H41" i="4" s="1"/>
  <c r="G54" i="4"/>
  <c r="H55" i="4" s="1"/>
  <c r="G68" i="4"/>
  <c r="H69" i="4" s="1"/>
  <c r="F58" i="12"/>
  <c r="F94" i="12"/>
  <c r="D76" i="12"/>
  <c r="E76" i="12"/>
  <c r="E50" i="12"/>
  <c r="D68" i="12"/>
  <c r="A18" i="12"/>
  <c r="B18" i="12" s="1"/>
  <c r="F68" i="12"/>
  <c r="A22" i="12"/>
  <c r="B22" i="12" s="1"/>
  <c r="D56" i="12"/>
  <c r="D88" i="12"/>
  <c r="E108" i="12"/>
  <c r="D50" i="12"/>
  <c r="C122" i="12"/>
  <c r="D122" i="12"/>
  <c r="C68" i="12"/>
  <c r="E122" i="12"/>
  <c r="E68" i="12"/>
  <c r="B108" i="12"/>
  <c r="C56" i="12"/>
  <c r="C88" i="12"/>
  <c r="A24" i="12"/>
  <c r="B24" i="12" s="1"/>
  <c r="E56" i="12"/>
  <c r="F108" i="12"/>
  <c r="A20" i="12"/>
  <c r="B20" i="12" s="1"/>
  <c r="A40" i="12"/>
  <c r="B40" i="12" s="1"/>
  <c r="C74" i="12"/>
  <c r="D58" i="12"/>
  <c r="F74" i="12"/>
  <c r="F50" i="12"/>
  <c r="B104" i="12"/>
  <c r="A16" i="12"/>
  <c r="B16" i="12" s="1"/>
  <c r="E58" i="12"/>
  <c r="F62" i="12"/>
  <c r="G89" i="4"/>
  <c r="H90" i="4" s="1"/>
  <c r="B44" i="12"/>
  <c r="C54" i="12"/>
  <c r="D78" i="12"/>
  <c r="G15" i="4"/>
  <c r="H16" i="4" s="1"/>
  <c r="G55" i="4"/>
  <c r="H56" i="4" s="1"/>
  <c r="G60" i="4"/>
  <c r="H61" i="4" s="1"/>
  <c r="C72" i="12"/>
  <c r="F90" i="12"/>
  <c r="C110" i="12"/>
  <c r="G11" i="4"/>
  <c r="H12" i="4" s="1"/>
  <c r="G24" i="4"/>
  <c r="H25" i="4" s="1"/>
  <c r="G70" i="4"/>
  <c r="H71" i="4" s="1"/>
  <c r="G75" i="4"/>
  <c r="H76" i="4" s="1"/>
  <c r="E44" i="12"/>
  <c r="C64" i="12"/>
  <c r="D72" i="12"/>
  <c r="F78" i="12"/>
  <c r="D102" i="12"/>
  <c r="D110" i="12"/>
  <c r="C90" i="12"/>
  <c r="G6" i="4"/>
  <c r="H7" i="4" s="1"/>
  <c r="G19" i="4"/>
  <c r="H20" i="4" s="1"/>
  <c r="G50" i="4"/>
  <c r="H51" i="4" s="1"/>
  <c r="G79" i="4"/>
  <c r="H80" i="4" s="1"/>
  <c r="B72" i="12"/>
  <c r="B102" i="12"/>
  <c r="G28" i="4"/>
  <c r="H29" i="4" s="1"/>
  <c r="G41" i="4"/>
  <c r="H42" i="4" s="1"/>
  <c r="G65" i="4"/>
  <c r="H66" i="4" s="1"/>
  <c r="G84" i="4"/>
  <c r="H85" i="4" s="1"/>
  <c r="G94" i="4"/>
  <c r="H95" i="4" s="1"/>
  <c r="A26" i="12"/>
  <c r="C26" i="12" s="1"/>
  <c r="D44" i="12"/>
  <c r="B64" i="12"/>
  <c r="F124" i="12"/>
  <c r="G7" i="4"/>
  <c r="H8" i="4" s="1"/>
  <c r="G20" i="4"/>
  <c r="H21" i="4" s="1"/>
  <c r="G37" i="4"/>
  <c r="H38" i="4" s="1"/>
  <c r="G46" i="4"/>
  <c r="H47" i="4" s="1"/>
  <c r="G51" i="4"/>
  <c r="H52" i="4" s="1"/>
  <c r="G80" i="4"/>
  <c r="H81" i="4" s="1"/>
  <c r="G95" i="4"/>
  <c r="H96" i="4" s="1"/>
  <c r="A28" i="12"/>
  <c r="C28" i="12" s="1"/>
  <c r="D64" i="12"/>
  <c r="E72" i="12"/>
  <c r="E110" i="12"/>
  <c r="E126" i="12"/>
  <c r="D90" i="12"/>
  <c r="G61" i="4"/>
  <c r="H62" i="4" s="1"/>
  <c r="G66" i="4"/>
  <c r="H67" i="4" s="1"/>
  <c r="G85" i="4"/>
  <c r="H86" i="4" s="1"/>
  <c r="G90" i="4"/>
  <c r="H91" i="4" s="1"/>
  <c r="A30" i="12"/>
  <c r="C30" i="12" s="1"/>
  <c r="E64" i="12"/>
  <c r="F110" i="12"/>
  <c r="G12" i="4"/>
  <c r="H13" i="4" s="1"/>
  <c r="G29" i="4"/>
  <c r="H30" i="4" s="1"/>
  <c r="G42" i="4"/>
  <c r="H43" i="4" s="1"/>
  <c r="G76" i="4"/>
  <c r="H77" i="4" s="1"/>
  <c r="G96" i="4"/>
  <c r="H97" i="4" s="1"/>
  <c r="A32" i="12"/>
  <c r="C32" i="12" s="1"/>
  <c r="D46" i="12"/>
  <c r="E82" i="12"/>
  <c r="C104" i="12"/>
  <c r="D104" i="12"/>
  <c r="C100" i="12"/>
  <c r="G32" i="4"/>
  <c r="H33" i="4" s="1"/>
  <c r="E124" i="12"/>
  <c r="G56" i="4"/>
  <c r="H57" i="4" s="1"/>
  <c r="G52" i="4"/>
  <c r="H53" i="4" s="1"/>
  <c r="A34" i="12"/>
  <c r="B34" i="12" s="1"/>
  <c r="G38" i="4"/>
  <c r="H39" i="4" s="1"/>
  <c r="G57" i="4"/>
  <c r="H58" i="4" s="1"/>
  <c r="G62" i="4"/>
  <c r="H63" i="4" s="1"/>
  <c r="G81" i="4"/>
  <c r="H82" i="4" s="1"/>
  <c r="G91" i="4"/>
  <c r="H92" i="4" s="1"/>
  <c r="G97" i="4"/>
  <c r="A36" i="12"/>
  <c r="F46" i="12"/>
  <c r="D74" i="12"/>
  <c r="C96" i="12"/>
  <c r="E104" i="12"/>
  <c r="G33" i="4"/>
  <c r="H34" i="4" s="1"/>
  <c r="G21" i="4"/>
  <c r="H22" i="4" s="1"/>
  <c r="G17" i="4"/>
  <c r="H18" i="4" s="1"/>
  <c r="G34" i="4"/>
  <c r="H35" i="4" s="1"/>
  <c r="G43" i="4"/>
  <c r="H44" i="4" s="1"/>
  <c r="G67" i="4"/>
  <c r="H68" i="4" s="1"/>
  <c r="G86" i="4"/>
  <c r="H87" i="4" s="1"/>
  <c r="D96" i="12"/>
  <c r="G16" i="4"/>
  <c r="H17" i="4" s="1"/>
  <c r="G47" i="4"/>
  <c r="H48" i="4" s="1"/>
  <c r="G4" i="4"/>
  <c r="H5" i="4" s="1"/>
  <c r="G13" i="4"/>
  <c r="H14" i="4" s="1"/>
  <c r="G30" i="4"/>
  <c r="H31" i="4" s="1"/>
  <c r="G48" i="4"/>
  <c r="H49" i="4" s="1"/>
  <c r="G53" i="4"/>
  <c r="H54" i="4" s="1"/>
  <c r="G72" i="4"/>
  <c r="H73" i="4" s="1"/>
  <c r="G77" i="4"/>
  <c r="H78" i="4" s="1"/>
  <c r="A12" i="12"/>
  <c r="B12" i="12" s="1"/>
  <c r="E96" i="12"/>
  <c r="G8" i="4"/>
  <c r="H9" i="4" s="1"/>
  <c r="G25" i="4"/>
  <c r="H26" i="4" s="1"/>
  <c r="G71" i="4"/>
  <c r="H72" i="4" s="1"/>
  <c r="E46" i="12"/>
  <c r="G9" i="4"/>
  <c r="H10" i="4" s="1"/>
  <c r="G26" i="4"/>
  <c r="H27" i="4" s="1"/>
  <c r="G39" i="4"/>
  <c r="H40" i="4" s="1"/>
  <c r="G58" i="4"/>
  <c r="H59" i="4" s="1"/>
  <c r="G92" i="4"/>
  <c r="H93" i="4" s="1"/>
  <c r="A14" i="12"/>
  <c r="B14" i="12" s="1"/>
  <c r="AA9" i="7"/>
  <c r="O10" i="7"/>
  <c r="AM10" i="7"/>
  <c r="AA11" i="7"/>
  <c r="O12" i="7"/>
  <c r="AM12" i="7"/>
  <c r="AA13" i="7"/>
  <c r="L15" i="7"/>
  <c r="L17" i="7"/>
  <c r="X18" i="7"/>
  <c r="L19" i="7"/>
  <c r="AJ19" i="7"/>
  <c r="AJ15" i="7"/>
  <c r="AM19" i="7"/>
  <c r="U20" i="7"/>
  <c r="AM20" i="7"/>
  <c r="U21" i="7"/>
  <c r="AG21" i="7"/>
  <c r="F20" i="7"/>
  <c r="D24" i="10"/>
  <c r="E24" i="10" s="1"/>
  <c r="D20" i="10"/>
  <c r="E20" i="10" s="1"/>
  <c r="D11" i="10"/>
  <c r="E11" i="10" s="1"/>
  <c r="D25" i="10"/>
  <c r="E25" i="10" s="1"/>
  <c r="D14" i="10"/>
  <c r="E14" i="10" s="1"/>
  <c r="D23" i="10"/>
  <c r="E23" i="10" s="1"/>
  <c r="D17" i="10"/>
  <c r="E17" i="10" s="1"/>
  <c r="D12" i="10"/>
  <c r="E12" i="10" s="1"/>
  <c r="D21" i="10"/>
  <c r="E21" i="10" s="1"/>
  <c r="U2" i="7"/>
  <c r="I5" i="7"/>
  <c r="AG7" i="7"/>
  <c r="U12" i="7"/>
  <c r="R15" i="7"/>
  <c r="R19" i="7"/>
  <c r="AJ25" i="7"/>
  <c r="AG19" i="7"/>
  <c r="AG5" i="7"/>
  <c r="I11" i="7"/>
  <c r="AD16" i="7"/>
  <c r="I7" i="7"/>
  <c r="U10" i="7"/>
  <c r="I13" i="7"/>
  <c r="AG3" i="7"/>
  <c r="U6" i="7"/>
  <c r="U8" i="7"/>
  <c r="AG11" i="7"/>
  <c r="AG13" i="7"/>
  <c r="F16" i="7"/>
  <c r="AD18" i="7"/>
  <c r="I3" i="7"/>
  <c r="I9" i="7"/>
  <c r="AJ5" i="7"/>
  <c r="L9" i="7"/>
  <c r="U17" i="7"/>
  <c r="AA2" i="7"/>
  <c r="AM7" i="7"/>
  <c r="AA12" i="7"/>
  <c r="X15" i="7"/>
  <c r="L18" i="7"/>
  <c r="F4" i="7"/>
  <c r="R5" i="7"/>
  <c r="AD12" i="7"/>
  <c r="AM14" i="7"/>
  <c r="O16" i="7"/>
  <c r="O18" i="7"/>
  <c r="AA19" i="7"/>
  <c r="U23" i="7"/>
  <c r="I4" i="7"/>
  <c r="I6" i="7"/>
  <c r="U7" i="7"/>
  <c r="U9" i="7"/>
  <c r="I12" i="7"/>
  <c r="F15" i="7"/>
  <c r="AD17" i="7"/>
  <c r="X25" i="7"/>
  <c r="X23" i="7"/>
  <c r="L8" i="7"/>
  <c r="I15" i="7"/>
  <c r="AG15" i="7"/>
  <c r="I17" i="7"/>
  <c r="U18" i="7"/>
  <c r="X4" i="7"/>
  <c r="AJ7" i="7"/>
  <c r="AJ11" i="7"/>
  <c r="I16" i="7"/>
  <c r="U19" i="7"/>
  <c r="AM3" i="7"/>
  <c r="AA25" i="7"/>
  <c r="I23" i="7"/>
  <c r="O14" i="7"/>
  <c r="AJ4" i="7"/>
  <c r="X7" i="7"/>
  <c r="AJ12" i="7"/>
  <c r="AD14" i="7"/>
  <c r="L5" i="7"/>
  <c r="X12" i="7"/>
  <c r="AG16" i="7"/>
  <c r="AA4" i="7"/>
  <c r="AA10" i="7"/>
  <c r="O23" i="7"/>
  <c r="F2" i="7"/>
  <c r="R9" i="7"/>
  <c r="R11" i="7"/>
  <c r="AA15" i="7"/>
  <c r="AA17" i="7"/>
  <c r="U25" i="7"/>
  <c r="I14" i="7"/>
  <c r="AG6" i="7"/>
  <c r="L14" i="7"/>
  <c r="AJ2" i="7"/>
  <c r="X5" i="7"/>
  <c r="AJ8" i="7"/>
  <c r="X11" i="7"/>
  <c r="AG17" i="7"/>
  <c r="L7" i="7"/>
  <c r="L11" i="7"/>
  <c r="AG18" i="7"/>
  <c r="O3" i="7"/>
  <c r="AM11" i="7"/>
  <c r="AD2" i="7"/>
  <c r="AD4" i="7"/>
  <c r="R7" i="7"/>
  <c r="AD8" i="7"/>
  <c r="AD10" i="7"/>
  <c r="AM18" i="7"/>
  <c r="U3" i="7"/>
  <c r="AD19" i="7"/>
  <c r="L4" i="7"/>
  <c r="AJ9" i="7"/>
  <c r="AG14" i="7"/>
  <c r="O13" i="7"/>
  <c r="R3" i="7"/>
  <c r="AD6" i="7"/>
  <c r="F12" i="7"/>
  <c r="I2" i="7"/>
  <c r="AG4" i="7"/>
  <c r="I10" i="7"/>
  <c r="U13" i="7"/>
  <c r="AJ6" i="7"/>
  <c r="R13" i="7"/>
  <c r="E8" i="11"/>
  <c r="AG10" i="7"/>
  <c r="AG9" i="7"/>
  <c r="X9" i="7"/>
  <c r="AJ10" i="7"/>
  <c r="L12" i="7"/>
  <c r="X13" i="7"/>
  <c r="L13" i="7"/>
  <c r="X17" i="7"/>
  <c r="AJ18" i="7"/>
  <c r="B70" i="8"/>
  <c r="D21" i="8"/>
  <c r="B64" i="8"/>
  <c r="A7" i="8" s="1"/>
  <c r="B68" i="8"/>
  <c r="D70" i="8"/>
  <c r="F6" i="7"/>
  <c r="D13" i="8"/>
  <c r="F18" i="7"/>
  <c r="I25" i="7"/>
  <c r="F10" i="7"/>
  <c r="AA6" i="7"/>
  <c r="D64" i="8"/>
  <c r="I7" i="8" s="1"/>
  <c r="B74" i="8"/>
  <c r="F25" i="7"/>
  <c r="I19" i="7"/>
  <c r="D15" i="8"/>
  <c r="D74" i="8"/>
  <c r="D16" i="8"/>
  <c r="F15" i="8"/>
  <c r="D75" i="8"/>
  <c r="X2" i="7"/>
  <c r="B73" i="8"/>
  <c r="F16" i="8"/>
  <c r="AM2" i="7"/>
  <c r="B67" i="8"/>
  <c r="D20" i="8"/>
  <c r="L16" i="7"/>
  <c r="F20" i="8"/>
  <c r="H24" i="7"/>
  <c r="I24" i="7" s="1"/>
  <c r="W24" i="7"/>
  <c r="X24" i="7" s="1"/>
  <c r="AL24" i="7"/>
  <c r="AM24" i="7" s="1"/>
  <c r="T24" i="7"/>
  <c r="U24" i="7" s="1"/>
  <c r="Q24" i="7"/>
  <c r="R24" i="7" s="1"/>
  <c r="N24" i="7"/>
  <c r="O24" i="7" s="1"/>
  <c r="Z24" i="7"/>
  <c r="AA24" i="7" s="1"/>
  <c r="AD9" i="7"/>
  <c r="X19" i="7"/>
  <c r="AM8" i="7"/>
  <c r="AD3" i="7"/>
  <c r="L3" i="7"/>
  <c r="R17" i="7"/>
  <c r="D72" i="8"/>
  <c r="AM9" i="7"/>
  <c r="H116" i="12"/>
  <c r="G116" i="12"/>
  <c r="F116" i="12"/>
  <c r="E116" i="12"/>
  <c r="D116" i="12"/>
  <c r="O15" i="7"/>
  <c r="H70" i="12"/>
  <c r="G70" i="12"/>
  <c r="F70" i="12"/>
  <c r="E70" i="12"/>
  <c r="B116" i="12"/>
  <c r="D66" i="8"/>
  <c r="F12" i="8"/>
  <c r="AD5" i="7"/>
  <c r="L6" i="7"/>
  <c r="F23" i="7"/>
  <c r="L10" i="7"/>
  <c r="X8" i="7"/>
  <c r="F13" i="8"/>
  <c r="D67" i="8"/>
  <c r="H48" i="12"/>
  <c r="G48" i="12"/>
  <c r="E48" i="12"/>
  <c r="D48" i="12"/>
  <c r="C48" i="12"/>
  <c r="B48" i="12"/>
  <c r="F48" i="12"/>
  <c r="AF24" i="7"/>
  <c r="AG24" i="7" s="1"/>
  <c r="O25" i="7"/>
  <c r="AG25" i="7"/>
  <c r="AJ17" i="7"/>
  <c r="R25" i="7"/>
  <c r="D68" i="8"/>
  <c r="K24" i="7"/>
  <c r="L24" i="7" s="1"/>
  <c r="B66" i="8"/>
  <c r="D12" i="8"/>
  <c r="H86" i="12"/>
  <c r="G86" i="12"/>
  <c r="F86" i="12"/>
  <c r="C86" i="12"/>
  <c r="D86" i="12"/>
  <c r="E86" i="12"/>
  <c r="H114" i="12"/>
  <c r="G114" i="12"/>
  <c r="F114" i="12"/>
  <c r="D114" i="12"/>
  <c r="E114" i="12"/>
  <c r="B114" i="12"/>
  <c r="C114" i="12"/>
  <c r="AJ16" i="7"/>
  <c r="AA18" i="7"/>
  <c r="B86" i="12"/>
  <c r="AM4" i="7"/>
  <c r="X10" i="7"/>
  <c r="U4" i="7"/>
  <c r="B69" i="8"/>
  <c r="AG12" i="7"/>
  <c r="I18" i="7"/>
  <c r="F14" i="8"/>
  <c r="H64" i="12"/>
  <c r="G64" i="12"/>
  <c r="B70" i="12"/>
  <c r="C116" i="12"/>
  <c r="AC24" i="7"/>
  <c r="AD24" i="7" s="1"/>
  <c r="L25" i="7"/>
  <c r="AD25" i="7"/>
  <c r="D17" i="8"/>
  <c r="E24" i="7"/>
  <c r="F19" i="8"/>
  <c r="B65" i="8"/>
  <c r="F8" i="7"/>
  <c r="F19" i="7"/>
  <c r="D18" i="8"/>
  <c r="B72" i="8"/>
  <c r="AD15" i="7"/>
  <c r="AI24" i="7"/>
  <c r="AJ24" i="7" s="1"/>
  <c r="L2" i="7"/>
  <c r="U5" i="7"/>
  <c r="AM5" i="7"/>
  <c r="B75" i="8"/>
  <c r="C70" i="12"/>
  <c r="H98" i="12"/>
  <c r="G98" i="12"/>
  <c r="F98" i="12"/>
  <c r="E98" i="12"/>
  <c r="D98" i="12"/>
  <c r="C98" i="12"/>
  <c r="B98" i="12"/>
  <c r="F17" i="7"/>
  <c r="X6" i="7"/>
  <c r="F5" i="7"/>
  <c r="I8" i="7"/>
  <c r="U15" i="7"/>
  <c r="C42" i="12"/>
  <c r="B82" i="12"/>
  <c r="H120" i="12"/>
  <c r="G120" i="12"/>
  <c r="F120" i="12"/>
  <c r="E120" i="12"/>
  <c r="D120" i="12"/>
  <c r="X3" i="7"/>
  <c r="O9" i="7"/>
  <c r="U11" i="7"/>
  <c r="H110" i="12"/>
  <c r="G110" i="12"/>
  <c r="B120" i="12"/>
  <c r="H118" i="12"/>
  <c r="G118" i="12"/>
  <c r="F118" i="12"/>
  <c r="E118" i="12"/>
  <c r="C118" i="12"/>
  <c r="D118" i="12"/>
  <c r="AM15" i="7"/>
  <c r="O19" i="7"/>
  <c r="H42" i="12"/>
  <c r="G42" i="12"/>
  <c r="F42" i="12"/>
  <c r="E42" i="12"/>
  <c r="B42" i="12"/>
  <c r="H82" i="12"/>
  <c r="G82" i="12"/>
  <c r="F82" i="12"/>
  <c r="B71" i="8"/>
  <c r="D82" i="12"/>
  <c r="H92" i="12"/>
  <c r="G92" i="12"/>
  <c r="E92" i="12"/>
  <c r="F92" i="12"/>
  <c r="C92" i="12"/>
  <c r="D92" i="12"/>
  <c r="B92" i="12"/>
  <c r="C120" i="12"/>
  <c r="O2" i="7"/>
  <c r="AG2" i="7"/>
  <c r="O5" i="7"/>
  <c r="O7" i="7"/>
  <c r="AG8" i="7"/>
  <c r="O11" i="7"/>
  <c r="AJ13" i="7"/>
  <c r="H100" i="12"/>
  <c r="G100" i="12"/>
  <c r="F100" i="12"/>
  <c r="E100" i="12"/>
  <c r="C128" i="12"/>
  <c r="E14" i="7"/>
  <c r="F14" i="7" s="1"/>
  <c r="T14" i="7"/>
  <c r="AI14" i="7"/>
  <c r="W14" i="7"/>
  <c r="X14" i="7" s="1"/>
  <c r="F8" i="6"/>
  <c r="G8" i="6" s="1"/>
  <c r="Q14" i="7"/>
  <c r="H131" i="12"/>
  <c r="G131" i="12"/>
  <c r="F131" i="12"/>
  <c r="E131" i="12"/>
  <c r="D131" i="12"/>
  <c r="C131" i="12"/>
  <c r="B131" i="12"/>
  <c r="H106" i="12"/>
  <c r="G106" i="12"/>
  <c r="F106" i="12"/>
  <c r="E106" i="12"/>
  <c r="D106" i="12"/>
  <c r="C106" i="12"/>
  <c r="H52" i="12"/>
  <c r="G52" i="12"/>
  <c r="F52" i="12"/>
  <c r="E52" i="12"/>
  <c r="D52" i="12"/>
  <c r="AC23" i="7"/>
  <c r="AD23" i="7" s="1"/>
  <c r="K23" i="7"/>
  <c r="L23" i="7" s="1"/>
  <c r="Z23" i="7"/>
  <c r="AA23" i="7" s="1"/>
  <c r="AL23" i="7"/>
  <c r="AM23" i="7" s="1"/>
  <c r="Q23" i="7"/>
  <c r="R23" i="7" s="1"/>
  <c r="AI23" i="7"/>
  <c r="AJ23" i="7" s="1"/>
  <c r="H60" i="12"/>
  <c r="G60" i="12"/>
  <c r="F60" i="12"/>
  <c r="E60" i="12"/>
  <c r="D60" i="12"/>
  <c r="C60" i="12"/>
  <c r="D14" i="8"/>
  <c r="R2" i="7"/>
  <c r="D19" i="8"/>
  <c r="H54" i="12"/>
  <c r="G54" i="12"/>
  <c r="F54" i="12"/>
  <c r="E54" i="12"/>
  <c r="B60" i="12"/>
  <c r="H74" i="12"/>
  <c r="G74" i="12"/>
  <c r="H80" i="12"/>
  <c r="G80" i="12"/>
  <c r="E80" i="12"/>
  <c r="D80" i="12"/>
  <c r="C80" i="12"/>
  <c r="B80" i="12"/>
  <c r="H128" i="12"/>
  <c r="G128" i="12"/>
  <c r="F128" i="12"/>
  <c r="B128" i="12"/>
  <c r="AF23" i="7"/>
  <c r="AG23" i="7" s="1"/>
  <c r="H46" i="12"/>
  <c r="G46" i="12"/>
  <c r="C52" i="12"/>
  <c r="D128" i="12"/>
  <c r="AJ3" i="7"/>
  <c r="R6" i="7"/>
  <c r="Z14" i="7"/>
  <c r="AA14" i="7" s="1"/>
  <c r="F17" i="8"/>
  <c r="D71" i="8"/>
  <c r="C46" i="12"/>
  <c r="B54" i="12"/>
  <c r="B74" i="12"/>
  <c r="F80" i="12"/>
  <c r="H88" i="12"/>
  <c r="G88" i="12"/>
  <c r="F88" i="12"/>
  <c r="E88" i="12"/>
  <c r="D100" i="12"/>
  <c r="F9" i="7"/>
  <c r="R18" i="7"/>
  <c r="D19" i="10"/>
  <c r="E19" i="10" s="1"/>
  <c r="H78" i="12"/>
  <c r="G78" i="12"/>
  <c r="H112" i="12"/>
  <c r="G112" i="12"/>
  <c r="E112" i="12"/>
  <c r="D112" i="12"/>
  <c r="C112" i="12"/>
  <c r="B112" i="12"/>
  <c r="B124" i="12"/>
  <c r="D22" i="10"/>
  <c r="E22" i="10" s="1"/>
  <c r="D18" i="10"/>
  <c r="D10" i="10"/>
  <c r="E10" i="10" s="1"/>
  <c r="D15" i="10"/>
  <c r="E15" i="10" s="1"/>
  <c r="AA8" i="7"/>
  <c r="AM13" i="7"/>
  <c r="AM25" i="7"/>
  <c r="B6" i="10"/>
  <c r="B27" i="10" s="1"/>
  <c r="D16" i="10"/>
  <c r="B38" i="12"/>
  <c r="H50" i="12"/>
  <c r="G50" i="12"/>
  <c r="B78" i="12"/>
  <c r="H84" i="12"/>
  <c r="G84" i="12"/>
  <c r="F84" i="12"/>
  <c r="E84" i="12"/>
  <c r="D84" i="12"/>
  <c r="H96" i="12"/>
  <c r="G96" i="12"/>
  <c r="F112" i="12"/>
  <c r="H130" i="12"/>
  <c r="G130" i="12"/>
  <c r="F130" i="12"/>
  <c r="E130" i="12"/>
  <c r="D130" i="12"/>
  <c r="C130" i="12"/>
  <c r="H66" i="12"/>
  <c r="G66" i="12"/>
  <c r="F66" i="12"/>
  <c r="E66" i="12"/>
  <c r="D66" i="12"/>
  <c r="C66" i="12"/>
  <c r="H124" i="12"/>
  <c r="G124" i="12"/>
  <c r="D10" i="8"/>
  <c r="G10" i="8" s="1"/>
  <c r="E6" i="10"/>
  <c r="D13" i="10"/>
  <c r="C38" i="12"/>
  <c r="B50" i="12"/>
  <c r="H56" i="12"/>
  <c r="G56" i="12"/>
  <c r="F56" i="12"/>
  <c r="H68" i="12"/>
  <c r="G68" i="12"/>
  <c r="C78" i="12"/>
  <c r="B84" i="12"/>
  <c r="B96" i="12"/>
  <c r="H102" i="12"/>
  <c r="G102" i="12"/>
  <c r="F102" i="12"/>
  <c r="E102" i="12"/>
  <c r="D124" i="12"/>
  <c r="B130" i="12"/>
  <c r="H62" i="12"/>
  <c r="G62" i="12"/>
  <c r="H94" i="12"/>
  <c r="G94" i="12"/>
  <c r="H126" i="12"/>
  <c r="G126" i="12"/>
  <c r="D69" i="8"/>
  <c r="H44" i="12"/>
  <c r="G44" i="12"/>
  <c r="B62" i="12"/>
  <c r="H76" i="12"/>
  <c r="G76" i="12"/>
  <c r="B94" i="12"/>
  <c r="H108" i="12"/>
  <c r="G108" i="12"/>
  <c r="B126" i="12"/>
  <c r="H58" i="12"/>
  <c r="G58" i="12"/>
  <c r="C62" i="12"/>
  <c r="H90" i="12"/>
  <c r="G90" i="12"/>
  <c r="C94" i="12"/>
  <c r="H122" i="12"/>
  <c r="G122" i="12"/>
  <c r="C126" i="12"/>
  <c r="C44" i="12"/>
  <c r="B58" i="12"/>
  <c r="D62" i="12"/>
  <c r="H72" i="12"/>
  <c r="G72" i="12"/>
  <c r="C76" i="12"/>
  <c r="B90" i="12"/>
  <c r="D94" i="12"/>
  <c r="H104" i="12"/>
  <c r="G104" i="12"/>
  <c r="C108" i="12"/>
  <c r="B122" i="12"/>
  <c r="D126" i="12"/>
  <c r="A13" i="12"/>
  <c r="A15" i="12"/>
  <c r="A17" i="12"/>
  <c r="A19" i="12"/>
  <c r="A21" i="12"/>
  <c r="A23" i="12"/>
  <c r="A25" i="12"/>
  <c r="A27" i="12"/>
  <c r="A29" i="12"/>
  <c r="A31" i="12"/>
  <c r="A33" i="12"/>
  <c r="A35" i="12"/>
  <c r="A37" i="12"/>
  <c r="A39" i="12"/>
  <c r="A41" i="12"/>
  <c r="A43" i="12"/>
  <c r="A45" i="12"/>
  <c r="A47" i="12"/>
  <c r="A49" i="12"/>
  <c r="A51" i="12"/>
  <c r="A53" i="12"/>
  <c r="A55" i="12"/>
  <c r="A57" i="12"/>
  <c r="A59" i="12"/>
  <c r="A61" i="12"/>
  <c r="A63" i="12"/>
  <c r="A65" i="12"/>
  <c r="A67" i="12"/>
  <c r="A69" i="12"/>
  <c r="A71" i="12"/>
  <c r="A73" i="12"/>
  <c r="A75" i="12"/>
  <c r="A77" i="12"/>
  <c r="A79" i="12"/>
  <c r="A81" i="12"/>
  <c r="A83" i="12"/>
  <c r="A85" i="12"/>
  <c r="A87" i="12"/>
  <c r="A89" i="12"/>
  <c r="A91" i="12"/>
  <c r="A93" i="12"/>
  <c r="A95" i="12"/>
  <c r="A97" i="12"/>
  <c r="A99" i="12"/>
  <c r="A101" i="12"/>
  <c r="A103" i="12"/>
  <c r="A105" i="12"/>
  <c r="A107" i="12"/>
  <c r="A109" i="12"/>
  <c r="A111" i="12"/>
  <c r="A113" i="12"/>
  <c r="A115" i="12"/>
  <c r="A117" i="12"/>
  <c r="A119" i="12"/>
  <c r="A121" i="12"/>
  <c r="A123" i="12"/>
  <c r="A125" i="12"/>
  <c r="A127" i="12"/>
  <c r="A129" i="12"/>
  <c r="G12" i="8" l="1"/>
  <c r="T14" i="6"/>
  <c r="S18" i="6"/>
  <c r="B26" i="12"/>
  <c r="A47" i="11"/>
  <c r="D47" i="11" s="1"/>
  <c r="C24" i="12"/>
  <c r="C12" i="12"/>
  <c r="C22" i="12"/>
  <c r="C18" i="12"/>
  <c r="A65" i="11"/>
  <c r="D65" i="11" s="1"/>
  <c r="A22" i="11"/>
  <c r="F22" i="11" s="1"/>
  <c r="A31" i="11"/>
  <c r="E31" i="11" s="1"/>
  <c r="B30" i="12"/>
  <c r="C14" i="12"/>
  <c r="A50" i="11"/>
  <c r="D50" i="11" s="1"/>
  <c r="C20" i="12"/>
  <c r="A52" i="11"/>
  <c r="D52" i="11" s="1"/>
  <c r="A58" i="11"/>
  <c r="F58" i="11" s="1"/>
  <c r="A71" i="11"/>
  <c r="C71" i="11" s="1"/>
  <c r="A59" i="11"/>
  <c r="F59" i="11" s="1"/>
  <c r="A46" i="11"/>
  <c r="F46" i="11" s="1"/>
  <c r="A28" i="11"/>
  <c r="F28" i="11" s="1"/>
  <c r="A17" i="11"/>
  <c r="D17" i="11" s="1"/>
  <c r="A51" i="11"/>
  <c r="E51" i="11" s="1"/>
  <c r="A32" i="11"/>
  <c r="C32" i="11" s="1"/>
  <c r="A40" i="11"/>
  <c r="C40" i="11" s="1"/>
  <c r="A37" i="11"/>
  <c r="F37" i="11" s="1"/>
  <c r="A49" i="11"/>
  <c r="B49" i="11" s="1"/>
  <c r="A38" i="11"/>
  <c r="E38" i="11" s="1"/>
  <c r="A39" i="11"/>
  <c r="C39" i="11" s="1"/>
  <c r="A67" i="11"/>
  <c r="F67" i="11" s="1"/>
  <c r="B28" i="12"/>
  <c r="A29" i="11"/>
  <c r="F29" i="11" s="1"/>
  <c r="A19" i="11"/>
  <c r="F19" i="11" s="1"/>
  <c r="A63" i="11"/>
  <c r="C63" i="11" s="1"/>
  <c r="C34" i="12"/>
  <c r="A70" i="11"/>
  <c r="F70" i="11" s="1"/>
  <c r="A36" i="11"/>
  <c r="B36" i="11" s="1"/>
  <c r="A14" i="11"/>
  <c r="E14" i="11" s="1"/>
  <c r="B32" i="12"/>
  <c r="A34" i="11"/>
  <c r="C34" i="11" s="1"/>
  <c r="A24" i="11"/>
  <c r="F24" i="11" s="1"/>
  <c r="A48" i="11"/>
  <c r="F48" i="11" s="1"/>
  <c r="A35" i="11"/>
  <c r="F35" i="11" s="1"/>
  <c r="A43" i="11"/>
  <c r="B43" i="11" s="1"/>
  <c r="A41" i="11"/>
  <c r="C41" i="11" s="1"/>
  <c r="A69" i="11"/>
  <c r="C69" i="11" s="1"/>
  <c r="A54" i="11"/>
  <c r="B54" i="11" s="1"/>
  <c r="A20" i="11"/>
  <c r="D20" i="11" s="1"/>
  <c r="A45" i="11"/>
  <c r="D45" i="11" s="1"/>
  <c r="C40" i="12"/>
  <c r="A18" i="11"/>
  <c r="B18" i="11" s="1"/>
  <c r="A44" i="11"/>
  <c r="B44" i="11" s="1"/>
  <c r="A21" i="11"/>
  <c r="C21" i="11" s="1"/>
  <c r="A15" i="11"/>
  <c r="C15" i="11" s="1"/>
  <c r="C16" i="12"/>
  <c r="A27" i="11"/>
  <c r="E27" i="11" s="1"/>
  <c r="A13" i="11"/>
  <c r="C13" i="11" s="1"/>
  <c r="A61" i="11"/>
  <c r="F61" i="11" s="1"/>
  <c r="A56" i="11"/>
  <c r="E56" i="11" s="1"/>
  <c r="A62" i="11"/>
  <c r="D62" i="11" s="1"/>
  <c r="A64" i="11"/>
  <c r="C64" i="11" s="1"/>
  <c r="A23" i="11"/>
  <c r="C23" i="11" s="1"/>
  <c r="A72" i="11"/>
  <c r="E72" i="11" s="1"/>
  <c r="A26" i="11"/>
  <c r="D26" i="11" s="1"/>
  <c r="A33" i="11"/>
  <c r="D33" i="11" s="1"/>
  <c r="A55" i="11"/>
  <c r="D55" i="11" s="1"/>
  <c r="A25" i="11"/>
  <c r="D25" i="11" s="1"/>
  <c r="A68" i="11"/>
  <c r="E68" i="11" s="1"/>
  <c r="A30" i="11"/>
  <c r="E30" i="11" s="1"/>
  <c r="A66" i="11"/>
  <c r="E66" i="11" s="1"/>
  <c r="A53" i="11"/>
  <c r="E53" i="11" s="1"/>
  <c r="A16" i="11"/>
  <c r="B16" i="11" s="1"/>
  <c r="A42" i="11"/>
  <c r="D42" i="11" s="1"/>
  <c r="A57" i="11"/>
  <c r="C57" i="11" s="1"/>
  <c r="A60" i="11"/>
  <c r="B60" i="11" s="1"/>
  <c r="C36" i="12"/>
  <c r="B36" i="12"/>
  <c r="B26" i="10"/>
  <c r="F26" i="10" s="1"/>
  <c r="B25" i="10"/>
  <c r="F25" i="10" s="1"/>
  <c r="C69" i="8"/>
  <c r="E69" i="8" s="1"/>
  <c r="E13" i="8"/>
  <c r="G13" i="8" s="1"/>
  <c r="C65" i="8"/>
  <c r="E65" i="8" s="1"/>
  <c r="C66" i="8"/>
  <c r="E66" i="8" s="1"/>
  <c r="C70" i="8"/>
  <c r="E70" i="8" s="1"/>
  <c r="E16" i="8"/>
  <c r="G16" i="8" s="1"/>
  <c r="H65" i="12"/>
  <c r="F65" i="12"/>
  <c r="E65" i="12"/>
  <c r="D65" i="12"/>
  <c r="C65" i="12"/>
  <c r="B65" i="12"/>
  <c r="G65" i="12"/>
  <c r="C33" i="12"/>
  <c r="B33" i="12"/>
  <c r="H95" i="12"/>
  <c r="F95" i="12"/>
  <c r="E95" i="12"/>
  <c r="D95" i="12"/>
  <c r="C95" i="12"/>
  <c r="B95" i="12"/>
  <c r="G95" i="12"/>
  <c r="C31" i="12"/>
  <c r="B31" i="12"/>
  <c r="H125" i="12"/>
  <c r="F125" i="12"/>
  <c r="E125" i="12"/>
  <c r="D125" i="12"/>
  <c r="C125" i="12"/>
  <c r="B125" i="12"/>
  <c r="G125" i="12"/>
  <c r="C29" i="12"/>
  <c r="B29" i="12"/>
  <c r="C71" i="8"/>
  <c r="E71" i="8" s="1"/>
  <c r="C27" i="12"/>
  <c r="B27" i="12"/>
  <c r="H57" i="12"/>
  <c r="F57" i="12"/>
  <c r="E57" i="12"/>
  <c r="D57" i="12"/>
  <c r="C57" i="12"/>
  <c r="B57" i="12"/>
  <c r="G57" i="12"/>
  <c r="C23" i="12"/>
  <c r="B23" i="12"/>
  <c r="H117" i="12"/>
  <c r="F117" i="12"/>
  <c r="E117" i="12"/>
  <c r="D117" i="12"/>
  <c r="C117" i="12"/>
  <c r="B117" i="12"/>
  <c r="G117" i="12"/>
  <c r="C21" i="12"/>
  <c r="B21" i="12"/>
  <c r="C19" i="12"/>
  <c r="B19" i="12"/>
  <c r="H81" i="12"/>
  <c r="F81" i="12"/>
  <c r="E81" i="12"/>
  <c r="D81" i="12"/>
  <c r="C81" i="12"/>
  <c r="B81" i="12"/>
  <c r="G81" i="12"/>
  <c r="H47" i="12"/>
  <c r="F47" i="12"/>
  <c r="E47" i="12"/>
  <c r="D47" i="12"/>
  <c r="C47" i="12"/>
  <c r="B47" i="12"/>
  <c r="G47" i="12"/>
  <c r="C13" i="12"/>
  <c r="B13" i="12"/>
  <c r="H107" i="12"/>
  <c r="F107" i="12"/>
  <c r="E107" i="12"/>
  <c r="D107" i="12"/>
  <c r="C107" i="12"/>
  <c r="B107" i="12"/>
  <c r="G107" i="12"/>
  <c r="H75" i="12"/>
  <c r="F75" i="12"/>
  <c r="E75" i="12"/>
  <c r="D75" i="12"/>
  <c r="C75" i="12"/>
  <c r="B75" i="12"/>
  <c r="G75" i="12"/>
  <c r="H43" i="12"/>
  <c r="F43" i="12"/>
  <c r="E43" i="12"/>
  <c r="D43" i="12"/>
  <c r="C43" i="12"/>
  <c r="B43" i="12"/>
  <c r="G43" i="12"/>
  <c r="F62" i="11"/>
  <c r="E17" i="8"/>
  <c r="G17" i="8" s="1"/>
  <c r="H121" i="12"/>
  <c r="F121" i="12"/>
  <c r="E121" i="12"/>
  <c r="D121" i="12"/>
  <c r="C121" i="12"/>
  <c r="B121" i="12"/>
  <c r="G121" i="12"/>
  <c r="C25" i="12"/>
  <c r="B25" i="12"/>
  <c r="H55" i="12"/>
  <c r="F55" i="12"/>
  <c r="E55" i="12"/>
  <c r="D55" i="12"/>
  <c r="C55" i="12"/>
  <c r="B55" i="12"/>
  <c r="G55" i="12"/>
  <c r="R14" i="7"/>
  <c r="E14" i="8"/>
  <c r="G14" i="8" s="1"/>
  <c r="C68" i="8"/>
  <c r="E68" i="8" s="1"/>
  <c r="H85" i="12"/>
  <c r="F85" i="12"/>
  <c r="E85" i="12"/>
  <c r="D85" i="12"/>
  <c r="C85" i="12"/>
  <c r="B85" i="12"/>
  <c r="G85" i="12"/>
  <c r="C17" i="12"/>
  <c r="B17" i="12"/>
  <c r="C25" i="11"/>
  <c r="H45" i="12"/>
  <c r="F45" i="12"/>
  <c r="E45" i="12"/>
  <c r="D45" i="12"/>
  <c r="C45" i="12"/>
  <c r="B45" i="12"/>
  <c r="G45" i="12"/>
  <c r="E16" i="10"/>
  <c r="C75" i="8"/>
  <c r="E75" i="8" s="1"/>
  <c r="H91" i="12"/>
  <c r="F91" i="12"/>
  <c r="E91" i="12"/>
  <c r="D91" i="12"/>
  <c r="C91" i="12"/>
  <c r="B91" i="12"/>
  <c r="G91" i="12"/>
  <c r="H89" i="12"/>
  <c r="F89" i="12"/>
  <c r="E89" i="12"/>
  <c r="D89" i="12"/>
  <c r="C89" i="12"/>
  <c r="B89" i="12"/>
  <c r="G89" i="12"/>
  <c r="H53" i="12"/>
  <c r="F53" i="12"/>
  <c r="E53" i="12"/>
  <c r="D53" i="12"/>
  <c r="C53" i="12"/>
  <c r="B53" i="12"/>
  <c r="G53" i="12"/>
  <c r="H115" i="12"/>
  <c r="F115" i="12"/>
  <c r="E115" i="12"/>
  <c r="D115" i="12"/>
  <c r="C115" i="12"/>
  <c r="B115" i="12"/>
  <c r="G115" i="12"/>
  <c r="AJ14" i="7"/>
  <c r="E20" i="8"/>
  <c r="G20" i="8" s="1"/>
  <c r="C74" i="8"/>
  <c r="E74" i="8" s="1"/>
  <c r="H79" i="12"/>
  <c r="F79" i="12"/>
  <c r="E79" i="12"/>
  <c r="D79" i="12"/>
  <c r="C79" i="12"/>
  <c r="B79" i="12"/>
  <c r="G79" i="12"/>
  <c r="C15" i="12"/>
  <c r="B15" i="12"/>
  <c r="E18" i="8"/>
  <c r="G18" i="8" s="1"/>
  <c r="H77" i="12"/>
  <c r="F77" i="12"/>
  <c r="E77" i="12"/>
  <c r="D77" i="12"/>
  <c r="C77" i="12"/>
  <c r="B77" i="12"/>
  <c r="G77" i="12"/>
  <c r="C72" i="8"/>
  <c r="E72" i="8" s="1"/>
  <c r="H73" i="12"/>
  <c r="F73" i="12"/>
  <c r="E73" i="12"/>
  <c r="D73" i="12"/>
  <c r="C73" i="12"/>
  <c r="B73" i="12"/>
  <c r="G73" i="12"/>
  <c r="E19" i="8"/>
  <c r="G19" i="8" s="1"/>
  <c r="H129" i="12"/>
  <c r="F129" i="12"/>
  <c r="E129" i="12"/>
  <c r="D129" i="12"/>
  <c r="C129" i="12"/>
  <c r="B129" i="12"/>
  <c r="G129" i="12"/>
  <c r="H63" i="12"/>
  <c r="F63" i="12"/>
  <c r="E63" i="12"/>
  <c r="D63" i="12"/>
  <c r="C63" i="12"/>
  <c r="B63" i="12"/>
  <c r="G63" i="12"/>
  <c r="H61" i="12"/>
  <c r="F61" i="12"/>
  <c r="E61" i="12"/>
  <c r="D61" i="12"/>
  <c r="C61" i="12"/>
  <c r="B61" i="12"/>
  <c r="G61" i="12"/>
  <c r="E13" i="10"/>
  <c r="C67" i="8"/>
  <c r="E67" i="8" s="1"/>
  <c r="H87" i="12"/>
  <c r="F87" i="12"/>
  <c r="E87" i="12"/>
  <c r="D87" i="12"/>
  <c r="C87" i="12"/>
  <c r="B87" i="12"/>
  <c r="G87" i="12"/>
  <c r="H83" i="12"/>
  <c r="F83" i="12"/>
  <c r="E83" i="12"/>
  <c r="D83" i="12"/>
  <c r="C83" i="12"/>
  <c r="B83" i="12"/>
  <c r="G83" i="12"/>
  <c r="H113" i="12"/>
  <c r="F113" i="12"/>
  <c r="E113" i="12"/>
  <c r="D113" i="12"/>
  <c r="C113" i="12"/>
  <c r="B113" i="12"/>
  <c r="G113" i="12"/>
  <c r="H49" i="12"/>
  <c r="F49" i="12"/>
  <c r="E49" i="12"/>
  <c r="D49" i="12"/>
  <c r="C49" i="12"/>
  <c r="B49" i="12"/>
  <c r="G49" i="12"/>
  <c r="H105" i="12"/>
  <c r="F105" i="12"/>
  <c r="E105" i="12"/>
  <c r="D105" i="12"/>
  <c r="C105" i="12"/>
  <c r="B105" i="12"/>
  <c r="G105" i="12"/>
  <c r="C41" i="12"/>
  <c r="B41" i="12"/>
  <c r="H103" i="12"/>
  <c r="F103" i="12"/>
  <c r="E103" i="12"/>
  <c r="D103" i="12"/>
  <c r="C103" i="12"/>
  <c r="B103" i="12"/>
  <c r="G103" i="12"/>
  <c r="H101" i="12"/>
  <c r="F101" i="12"/>
  <c r="E101" i="12"/>
  <c r="D101" i="12"/>
  <c r="C101" i="12"/>
  <c r="B101" i="12"/>
  <c r="G101" i="12"/>
  <c r="H69" i="12"/>
  <c r="F69" i="12"/>
  <c r="E69" i="12"/>
  <c r="D69" i="12"/>
  <c r="C69" i="12"/>
  <c r="B69" i="12"/>
  <c r="G69" i="12"/>
  <c r="C37" i="12"/>
  <c r="B37" i="12"/>
  <c r="E18" i="10"/>
  <c r="H97" i="12"/>
  <c r="F97" i="12"/>
  <c r="E97" i="12"/>
  <c r="D97" i="12"/>
  <c r="C97" i="12"/>
  <c r="B97" i="12"/>
  <c r="G97" i="12"/>
  <c r="H127" i="12"/>
  <c r="F127" i="12"/>
  <c r="E127" i="12"/>
  <c r="D127" i="12"/>
  <c r="C127" i="12"/>
  <c r="B127" i="12"/>
  <c r="G127" i="12"/>
  <c r="H93" i="12"/>
  <c r="F93" i="12"/>
  <c r="E93" i="12"/>
  <c r="D93" i="12"/>
  <c r="C93" i="12"/>
  <c r="B93" i="12"/>
  <c r="G93" i="12"/>
  <c r="H123" i="12"/>
  <c r="F123" i="12"/>
  <c r="E123" i="12"/>
  <c r="D123" i="12"/>
  <c r="C123" i="12"/>
  <c r="B123" i="12"/>
  <c r="G123" i="12"/>
  <c r="H59" i="12"/>
  <c r="F59" i="12"/>
  <c r="E59" i="12"/>
  <c r="D59" i="12"/>
  <c r="C59" i="12"/>
  <c r="B59" i="12"/>
  <c r="G59" i="12"/>
  <c r="B24" i="10"/>
  <c r="F24" i="10" s="1"/>
  <c r="B21" i="10"/>
  <c r="F21" i="10" s="1"/>
  <c r="B13" i="10"/>
  <c r="B18" i="10"/>
  <c r="B10" i="10"/>
  <c r="F10" i="10" s="1"/>
  <c r="B23" i="10"/>
  <c r="F23" i="10" s="1"/>
  <c r="B16" i="10"/>
  <c r="B14" i="10"/>
  <c r="F14" i="10" s="1"/>
  <c r="B11" i="10"/>
  <c r="F11" i="10" s="1"/>
  <c r="B19" i="10"/>
  <c r="F19" i="10" s="1"/>
  <c r="B17" i="10"/>
  <c r="F17" i="10" s="1"/>
  <c r="B15" i="10"/>
  <c r="F15" i="10" s="1"/>
  <c r="B12" i="10"/>
  <c r="F12" i="10" s="1"/>
  <c r="B20" i="10"/>
  <c r="F20" i="10" s="1"/>
  <c r="B22" i="10"/>
  <c r="F22" i="10" s="1"/>
  <c r="H119" i="12"/>
  <c r="F119" i="12"/>
  <c r="E119" i="12"/>
  <c r="D119" i="12"/>
  <c r="C119" i="12"/>
  <c r="B119" i="12"/>
  <c r="G119" i="12"/>
  <c r="H51" i="12"/>
  <c r="F51" i="12"/>
  <c r="E51" i="12"/>
  <c r="D51" i="12"/>
  <c r="C51" i="12"/>
  <c r="B51" i="12"/>
  <c r="G51" i="12"/>
  <c r="C73" i="8"/>
  <c r="E73" i="8" s="1"/>
  <c r="H111" i="12"/>
  <c r="F111" i="12"/>
  <c r="E111" i="12"/>
  <c r="D111" i="12"/>
  <c r="C111" i="12"/>
  <c r="B111" i="12"/>
  <c r="G111" i="12"/>
  <c r="U14" i="7"/>
  <c r="E15" i="8"/>
  <c r="G15" i="8" s="1"/>
  <c r="H109" i="12"/>
  <c r="F109" i="12"/>
  <c r="E109" i="12"/>
  <c r="D109" i="12"/>
  <c r="C109" i="12"/>
  <c r="B109" i="12"/>
  <c r="G109" i="12"/>
  <c r="H71" i="12"/>
  <c r="F71" i="12"/>
  <c r="E71" i="12"/>
  <c r="D71" i="12"/>
  <c r="C71" i="12"/>
  <c r="B71" i="12"/>
  <c r="G71" i="12"/>
  <c r="C39" i="12"/>
  <c r="B39" i="12"/>
  <c r="H99" i="12"/>
  <c r="F99" i="12"/>
  <c r="E99" i="12"/>
  <c r="D99" i="12"/>
  <c r="C99" i="12"/>
  <c r="B99" i="12"/>
  <c r="G99" i="12"/>
  <c r="H67" i="12"/>
  <c r="F67" i="12"/>
  <c r="E67" i="12"/>
  <c r="D67" i="12"/>
  <c r="C67" i="12"/>
  <c r="B67" i="12"/>
  <c r="G67" i="12"/>
  <c r="C35" i="12"/>
  <c r="B35" i="12"/>
  <c r="E21" i="8"/>
  <c r="G21" i="8" s="1"/>
  <c r="F24" i="7"/>
  <c r="I63" i="8"/>
  <c r="C64" i="8"/>
  <c r="D18" i="11" l="1"/>
  <c r="C18" i="11"/>
  <c r="E25" i="11"/>
  <c r="F47" i="11"/>
  <c r="D68" i="11"/>
  <c r="E47" i="11"/>
  <c r="B47" i="11"/>
  <c r="C47" i="11"/>
  <c r="F15" i="11"/>
  <c r="C61" i="11"/>
  <c r="C28" i="11"/>
  <c r="B61" i="11"/>
  <c r="D28" i="11"/>
  <c r="E61" i="11"/>
  <c r="D34" i="11"/>
  <c r="F65" i="11"/>
  <c r="C65" i="11"/>
  <c r="E65" i="11"/>
  <c r="B65" i="11"/>
  <c r="D15" i="11"/>
  <c r="B48" i="11"/>
  <c r="D61" i="11"/>
  <c r="C42" i="11"/>
  <c r="D48" i="11"/>
  <c r="F31" i="11"/>
  <c r="E63" i="11"/>
  <c r="B63" i="11"/>
  <c r="E48" i="11"/>
  <c r="D60" i="11"/>
  <c r="F45" i="11"/>
  <c r="C60" i="11"/>
  <c r="B24" i="11"/>
  <c r="D63" i="11"/>
  <c r="C48" i="11"/>
  <c r="E69" i="11"/>
  <c r="D24" i="11"/>
  <c r="B22" i="11"/>
  <c r="D69" i="11"/>
  <c r="F56" i="11"/>
  <c r="E24" i="11"/>
  <c r="B45" i="11"/>
  <c r="C24" i="11"/>
  <c r="F69" i="11"/>
  <c r="F68" i="11"/>
  <c r="F25" i="11"/>
  <c r="F63" i="11"/>
  <c r="E45" i="11"/>
  <c r="B59" i="11"/>
  <c r="C54" i="11"/>
  <c r="D19" i="11"/>
  <c r="F52" i="11"/>
  <c r="E59" i="11"/>
  <c r="B52" i="11"/>
  <c r="C22" i="11"/>
  <c r="E46" i="11"/>
  <c r="F33" i="11"/>
  <c r="E50" i="11"/>
  <c r="B37" i="11"/>
  <c r="B68" i="11"/>
  <c r="C45" i="11"/>
  <c r="D54" i="11"/>
  <c r="E52" i="11"/>
  <c r="B58" i="11"/>
  <c r="F20" i="11"/>
  <c r="D37" i="11"/>
  <c r="E22" i="11"/>
  <c r="E42" i="11"/>
  <c r="C31" i="11"/>
  <c r="B46" i="11"/>
  <c r="B23" i="11"/>
  <c r="D22" i="11"/>
  <c r="F42" i="11"/>
  <c r="D31" i="11"/>
  <c r="C46" i="11"/>
  <c r="C33" i="11"/>
  <c r="C37" i="11"/>
  <c r="B19" i="11"/>
  <c r="C19" i="11"/>
  <c r="E19" i="11"/>
  <c r="E58" i="11"/>
  <c r="B31" i="11"/>
  <c r="D46" i="11"/>
  <c r="B57" i="11"/>
  <c r="E33" i="11"/>
  <c r="E37" i="11"/>
  <c r="B25" i="11"/>
  <c r="C59" i="11"/>
  <c r="D59" i="11"/>
  <c r="C58" i="11"/>
  <c r="F60" i="11"/>
  <c r="D58" i="11"/>
  <c r="B67" i="11"/>
  <c r="C68" i="11"/>
  <c r="F18" i="11"/>
  <c r="D57" i="11"/>
  <c r="B33" i="11"/>
  <c r="D16" i="11"/>
  <c r="F17" i="11"/>
  <c r="B66" i="11"/>
  <c r="E32" i="11"/>
  <c r="C51" i="11"/>
  <c r="C30" i="11"/>
  <c r="F71" i="11"/>
  <c r="C36" i="11"/>
  <c r="F50" i="11"/>
  <c r="D14" i="11"/>
  <c r="B28" i="11"/>
  <c r="C27" i="11"/>
  <c r="F32" i="11"/>
  <c r="C67" i="11"/>
  <c r="B32" i="11"/>
  <c r="F44" i="11"/>
  <c r="D30" i="11"/>
  <c r="D71" i="11"/>
  <c r="E36" i="11"/>
  <c r="B50" i="11"/>
  <c r="B70" i="11"/>
  <c r="B55" i="11"/>
  <c r="D21" i="11"/>
  <c r="C16" i="11"/>
  <c r="E15" i="11"/>
  <c r="F34" i="11"/>
  <c r="D51" i="11"/>
  <c r="B71" i="11"/>
  <c r="E44" i="11"/>
  <c r="F30" i="11"/>
  <c r="E71" i="11"/>
  <c r="F36" i="11"/>
  <c r="C50" i="11"/>
  <c r="C70" i="11"/>
  <c r="E55" i="11"/>
  <c r="F21" i="11"/>
  <c r="B14" i="11"/>
  <c r="F14" i="11"/>
  <c r="B51" i="11"/>
  <c r="B30" i="11"/>
  <c r="B17" i="11"/>
  <c r="D36" i="11"/>
  <c r="C44" i="11"/>
  <c r="D70" i="11"/>
  <c r="F55" i="11"/>
  <c r="E21" i="11"/>
  <c r="E34" i="11"/>
  <c r="B27" i="11"/>
  <c r="C17" i="11"/>
  <c r="D32" i="11"/>
  <c r="D66" i="11"/>
  <c r="E17" i="11"/>
  <c r="E70" i="11"/>
  <c r="F27" i="11"/>
  <c r="D44" i="11"/>
  <c r="E18" i="11"/>
  <c r="C52" i="11"/>
  <c r="B15" i="11"/>
  <c r="C55" i="11"/>
  <c r="B21" i="11"/>
  <c r="B34" i="11"/>
  <c r="E16" i="11"/>
  <c r="F16" i="11"/>
  <c r="C14" i="11"/>
  <c r="E28" i="11"/>
  <c r="D27" i="11"/>
  <c r="F66" i="11"/>
  <c r="F54" i="11"/>
  <c r="F64" i="11"/>
  <c r="F26" i="11"/>
  <c r="C26" i="11"/>
  <c r="F41" i="11"/>
  <c r="C38" i="11"/>
  <c r="C72" i="11"/>
  <c r="B41" i="11"/>
  <c r="D41" i="11"/>
  <c r="B72" i="11"/>
  <c r="D64" i="11"/>
  <c r="E26" i="11"/>
  <c r="B26" i="11"/>
  <c r="D72" i="11"/>
  <c r="F49" i="11"/>
  <c r="B64" i="11"/>
  <c r="D29" i="11"/>
  <c r="C49" i="11"/>
  <c r="E29" i="11"/>
  <c r="E49" i="11"/>
  <c r="F51" i="11"/>
  <c r="D43" i="11"/>
  <c r="E35" i="11"/>
  <c r="B29" i="11"/>
  <c r="E40" i="11"/>
  <c r="D13" i="11"/>
  <c r="E39" i="11"/>
  <c r="B53" i="11"/>
  <c r="B56" i="11"/>
  <c r="C43" i="11"/>
  <c r="C35" i="11"/>
  <c r="F40" i="11"/>
  <c r="E13" i="11"/>
  <c r="B62" i="11"/>
  <c r="F39" i="11"/>
  <c r="B38" i="11"/>
  <c r="C29" i="11"/>
  <c r="B40" i="11"/>
  <c r="F72" i="11"/>
  <c r="D40" i="11"/>
  <c r="F53" i="11"/>
  <c r="C20" i="11"/>
  <c r="D49" i="11"/>
  <c r="C53" i="11"/>
  <c r="C56" i="11"/>
  <c r="E43" i="11"/>
  <c r="D35" i="11"/>
  <c r="E57" i="11"/>
  <c r="F13" i="11"/>
  <c r="E62" i="11"/>
  <c r="D39" i="11"/>
  <c r="D67" i="11"/>
  <c r="B69" i="11"/>
  <c r="E67" i="11"/>
  <c r="E60" i="11"/>
  <c r="B42" i="11"/>
  <c r="D38" i="11"/>
  <c r="F38" i="11"/>
  <c r="B13" i="11"/>
  <c r="D23" i="11"/>
  <c r="E23" i="11"/>
  <c r="E20" i="11"/>
  <c r="D53" i="11"/>
  <c r="D56" i="11"/>
  <c r="F43" i="11"/>
  <c r="B35" i="11"/>
  <c r="C66" i="11"/>
  <c r="F57" i="11"/>
  <c r="E54" i="11"/>
  <c r="C62" i="11"/>
  <c r="B39" i="11"/>
  <c r="B20" i="11"/>
  <c r="E41" i="11"/>
  <c r="E64" i="11"/>
  <c r="F23" i="11"/>
  <c r="F18" i="10"/>
  <c r="F16" i="10"/>
  <c r="D14" i="12"/>
  <c r="G14" i="12" s="1"/>
  <c r="F13" i="10"/>
  <c r="D22" i="12"/>
  <c r="D20" i="12"/>
  <c r="D19" i="12"/>
  <c r="G19" i="12" s="1"/>
  <c r="D24" i="12"/>
  <c r="I7" i="12"/>
  <c r="D21" i="12"/>
  <c r="G21" i="12" s="1"/>
  <c r="D29" i="12"/>
  <c r="G29" i="12" s="1"/>
  <c r="D25" i="12"/>
  <c r="G25" i="12" s="1"/>
  <c r="D32" i="12"/>
  <c r="D28" i="12"/>
  <c r="D18" i="12"/>
  <c r="D33" i="12"/>
  <c r="G33" i="12" s="1"/>
  <c r="D26" i="12"/>
  <c r="D39" i="12"/>
  <c r="G39" i="12" s="1"/>
  <c r="D12" i="12"/>
  <c r="D17" i="12"/>
  <c r="G17" i="12" s="1"/>
  <c r="D13" i="12"/>
  <c r="G13" i="12" s="1"/>
  <c r="D38" i="12"/>
  <c r="D37" i="12"/>
  <c r="G37" i="12" s="1"/>
  <c r="D16" i="12"/>
  <c r="D35" i="12"/>
  <c r="G35" i="12" s="1"/>
  <c r="D36" i="12"/>
  <c r="D15" i="12"/>
  <c r="G15" i="12" s="1"/>
  <c r="D23" i="12"/>
  <c r="G23" i="12" s="1"/>
  <c r="D31" i="12"/>
  <c r="G31" i="12" s="1"/>
  <c r="D30" i="12"/>
  <c r="D27" i="12"/>
  <c r="G27" i="12" s="1"/>
  <c r="E7" i="8"/>
  <c r="E64" i="8"/>
  <c r="M7" i="8" s="1"/>
  <c r="D41" i="12"/>
  <c r="G41" i="12" s="1"/>
  <c r="D40" i="12"/>
  <c r="D34" i="12"/>
  <c r="E14" i="12" l="1"/>
  <c r="E19" i="12"/>
  <c r="E13" i="12"/>
  <c r="E37" i="12"/>
  <c r="E15" i="12"/>
  <c r="E29" i="12"/>
  <c r="E23" i="12"/>
  <c r="E17" i="12"/>
  <c r="E39" i="12"/>
  <c r="E30" i="12"/>
  <c r="G30" i="12"/>
  <c r="G32" i="12"/>
  <c r="E32" i="12"/>
  <c r="E25" i="12"/>
  <c r="E20" i="12"/>
  <c r="G20" i="12"/>
  <c r="E21" i="12"/>
  <c r="E26" i="12"/>
  <c r="G26" i="12"/>
  <c r="G18" i="12"/>
  <c r="E18" i="12"/>
  <c r="E27" i="12"/>
  <c r="E35" i="12"/>
  <c r="E16" i="12"/>
  <c r="G16" i="12"/>
  <c r="E24" i="12"/>
  <c r="G24" i="12"/>
  <c r="E41" i="12"/>
  <c r="G34" i="12"/>
  <c r="E34" i="12"/>
  <c r="E22" i="12"/>
  <c r="G22" i="12"/>
  <c r="E28" i="12"/>
  <c r="G28" i="12"/>
  <c r="E36" i="12"/>
  <c r="G36" i="12"/>
  <c r="E33" i="12"/>
  <c r="E38" i="12"/>
  <c r="G38" i="12"/>
  <c r="E40" i="12"/>
  <c r="G40" i="12"/>
  <c r="M7" i="12"/>
  <c r="G12" i="12"/>
  <c r="E12" i="12"/>
  <c r="E31" i="12"/>
  <c r="A7" i="12" l="1"/>
  <c r="E7" i="12"/>
  <c r="F12" i="12"/>
  <c r="H12" i="12" l="1"/>
  <c r="F13" i="12"/>
  <c r="F14" i="12" l="1"/>
  <c r="H13" i="12"/>
  <c r="H14" i="12" l="1"/>
  <c r="F15" i="12"/>
  <c r="F16" i="12" l="1"/>
  <c r="H15" i="12"/>
  <c r="H16" i="12" l="1"/>
  <c r="F17" i="12"/>
  <c r="F18" i="12" l="1"/>
  <c r="H17" i="12"/>
  <c r="H18" i="12" l="1"/>
  <c r="F19" i="12"/>
  <c r="F20" i="12" l="1"/>
  <c r="H19" i="12"/>
  <c r="H20" i="12" l="1"/>
  <c r="F21" i="12"/>
  <c r="F22" i="12" l="1"/>
  <c r="H21" i="12"/>
  <c r="H22" i="12" l="1"/>
  <c r="F23" i="12"/>
  <c r="F24" i="12" l="1"/>
  <c r="H23" i="12"/>
  <c r="H24" i="12" l="1"/>
  <c r="F25" i="12"/>
  <c r="F26" i="12" l="1"/>
  <c r="H25" i="12"/>
  <c r="H26" i="12" l="1"/>
  <c r="F27" i="12"/>
  <c r="F28" i="12" l="1"/>
  <c r="H27" i="12"/>
  <c r="H28" i="12" l="1"/>
  <c r="F29" i="12"/>
  <c r="F30" i="12" l="1"/>
  <c r="H29" i="12"/>
  <c r="H30" i="12" l="1"/>
  <c r="F31" i="12"/>
  <c r="F32" i="12" l="1"/>
  <c r="H31" i="12"/>
  <c r="H32" i="12" l="1"/>
  <c r="F33" i="12"/>
  <c r="F34" i="12" l="1"/>
  <c r="H33" i="12"/>
  <c r="H34" i="12" l="1"/>
  <c r="F35" i="12"/>
  <c r="F36" i="12" l="1"/>
  <c r="H35" i="12"/>
  <c r="H36" i="12" l="1"/>
  <c r="F37" i="12"/>
  <c r="F38" i="12" l="1"/>
  <c r="H37" i="12"/>
  <c r="H38" i="12" l="1"/>
  <c r="F39" i="12"/>
  <c r="F40" i="12" l="1"/>
  <c r="H39" i="12"/>
  <c r="H40" i="12" l="1"/>
  <c r="F41" i="12"/>
  <c r="H41" i="12" s="1"/>
</calcChain>
</file>

<file path=xl/sharedStrings.xml><?xml version="1.0" encoding="utf-8"?>
<sst xmlns="http://schemas.openxmlformats.org/spreadsheetml/2006/main" count="857" uniqueCount="294">
  <si>
    <t>Premium Budget System — 2026 (26th–25th Periods)</t>
  </si>
  <si>
    <t>Income assumptions (net)</t>
  </si>
  <si>
    <t>FM payday amount (monthly)</t>
  </si>
  <si>
    <t>McD payday amount (biweekly)</t>
  </si>
  <si>
    <t>Outlier payday amount (weekly)</t>
  </si>
  <si>
    <t>McD next payday date (seed)</t>
  </si>
  <si>
    <t>Outlier next payday date (seed - Wed)</t>
  </si>
  <si>
    <t>Targets (Aggressive Plan)</t>
  </si>
  <si>
    <t>Monthly savings transfer target</t>
  </si>
  <si>
    <t>Variable cap per period (Food+Donations+Others+One-offs)</t>
  </si>
  <si>
    <t>Category list (dropdown source)</t>
  </si>
  <si>
    <t>Group</t>
  </si>
  <si>
    <t>Category</t>
  </si>
  <si>
    <t>INCOME</t>
  </si>
  <si>
    <t>Income - FM</t>
  </si>
  <si>
    <t>Income - McD</t>
  </si>
  <si>
    <t>Income - Outlier</t>
  </si>
  <si>
    <t>GIVING</t>
  </si>
  <si>
    <t>Tithe</t>
  </si>
  <si>
    <t>Offerings</t>
  </si>
  <si>
    <t>Charity - Perez Uni</t>
  </si>
  <si>
    <t>Charity - JPC Utilities</t>
  </si>
  <si>
    <t>Donations (Variable)</t>
  </si>
  <si>
    <t>FIXED</t>
  </si>
  <si>
    <t>Rent</t>
  </si>
  <si>
    <t>Insurance</t>
  </si>
  <si>
    <t>Road Tax</t>
  </si>
  <si>
    <t>Water Bill</t>
  </si>
  <si>
    <t>Electricity &amp; Gas</t>
  </si>
  <si>
    <t>Community Fibre / Internet</t>
  </si>
  <si>
    <t>iPhone Payments</t>
  </si>
  <si>
    <t>Parents</t>
  </si>
  <si>
    <t>Fuel</t>
  </si>
  <si>
    <t>VARIABLE</t>
  </si>
  <si>
    <t>Food</t>
  </si>
  <si>
    <t>Others</t>
  </si>
  <si>
    <t>SAVINGS</t>
  </si>
  <si>
    <t>Savings Transfer</t>
  </si>
  <si>
    <t>POT</t>
  </si>
  <si>
    <t>One-Off Giving (Christmas)</t>
  </si>
  <si>
    <t>Buffer Top-Up</t>
  </si>
  <si>
    <t>Weekly Pay Yourself</t>
  </si>
  <si>
    <t>Weekly Allowance (£)</t>
  </si>
  <si>
    <t>Weeks per Period</t>
  </si>
  <si>
    <t>Monthly Living Pool (£)</t>
  </si>
  <si>
    <t>One-Off Giving (Christmas / Special)</t>
  </si>
  <si>
    <t>Christmas Giving Target (£)</t>
  </si>
  <si>
    <t>Rule</t>
  </si>
  <si>
    <t>Fund only from new inflows (Outlier/McD); can be split.</t>
  </si>
  <si>
    <t>Mental Allocations</t>
  </si>
  <si>
    <t>This page shows what to mentally set aside when FM arrives. It updates from Setup + Bills Schedule.</t>
  </si>
  <si>
    <t>Selected Period</t>
  </si>
  <si>
    <t>FM received (edit if different)</t>
  </si>
  <si>
    <t>Allocation</t>
  </si>
  <si>
    <t>Amount</t>
  </si>
  <si>
    <t>Bills + Regular Giving (this period)</t>
  </si>
  <si>
    <t>Weekly Living Pool (4 weeks)</t>
  </si>
  <si>
    <t>Buffer Top-Up (target £800–£1,000)</t>
  </si>
  <si>
    <t>One-Off Giving Pot (Christmas target)</t>
  </si>
  <si>
    <t>Savings (sweep near period end)</t>
  </si>
  <si>
    <t>Unassigned / Remaining</t>
  </si>
  <si>
    <t>Notes</t>
  </si>
  <si>
    <t>• Buffer is NOT for spending. It protects timing gaps.</t>
  </si>
  <si>
    <t>• One-Off Giving is funded from new inflows (Outlier/McD).</t>
  </si>
  <si>
    <t>• Savings are a sweep at the end once liquidity is safe.</t>
  </si>
  <si>
    <t>Period</t>
  </si>
  <si>
    <t>Label</t>
  </si>
  <si>
    <t>Start</t>
  </si>
  <si>
    <t>End</t>
  </si>
  <si>
    <t>Next Start</t>
  </si>
  <si>
    <t>P1: 22 Dec 2025–25 Jan 2026</t>
  </si>
  <si>
    <t>P2: 26 Jan 2026–25 Feb 2026</t>
  </si>
  <si>
    <t>P3: 26 Feb 2026–25 Mar 2026</t>
  </si>
  <si>
    <t>P4: 26 Mar 2026–25 Apr 2026</t>
  </si>
  <si>
    <t>P5: 26 Apr 2026–25 May 2026</t>
  </si>
  <si>
    <t>P6: 26 May 2026–25 Jun 2026</t>
  </si>
  <si>
    <t>P7: 26 Jun 2026–25 Jul 2026</t>
  </si>
  <si>
    <t>P8: 26 Jul 2026–25 Aug 2026</t>
  </si>
  <si>
    <t>P9: 26 Aug 2026–25 Sep 2026</t>
  </si>
  <si>
    <t>P10: 26 Sep 2026–25 Oct 2026</t>
  </si>
  <si>
    <t>P11: 26 Oct 2026–25 Nov 2026</t>
  </si>
  <si>
    <t>P12: 26 Nov 2026–25 Dec 2026</t>
  </si>
  <si>
    <t>Expected Income Schedule (based on your pay timelines)</t>
  </si>
  <si>
    <t>InWindow</t>
  </si>
  <si>
    <t>Key</t>
  </si>
  <si>
    <t>Date</t>
  </si>
  <si>
    <t>Source</t>
  </si>
  <si>
    <t>Expected Amount</t>
  </si>
  <si>
    <t>FM (Christmas early)</t>
  </si>
  <si>
    <t>Paid early (Christmas)</t>
  </si>
  <si>
    <t>FM (26th)</t>
  </si>
  <si>
    <t>Latest by 26th</t>
  </si>
  <si>
    <t>McD (biweekly)</t>
  </si>
  <si>
    <t>Every 2 weeks</t>
  </si>
  <si>
    <t>Outlier (weekly Wed)</t>
  </si>
  <si>
    <t>Weekly Wednesday</t>
  </si>
  <si>
    <t>Additional Outlier payments before 2026 seed</t>
  </si>
  <si>
    <t>Before 2026 schedule</t>
  </si>
  <si>
    <t>Type</t>
  </si>
  <si>
    <t>Description</t>
  </si>
  <si>
    <t>Amount (£)</t>
  </si>
  <si>
    <t>One-off?</t>
  </si>
  <si>
    <t>Payment Method</t>
  </si>
  <si>
    <t>Period (auto)</t>
  </si>
  <si>
    <t>Expense</t>
  </si>
  <si>
    <t>Apple cloud subscription</t>
  </si>
  <si>
    <t>No</t>
  </si>
  <si>
    <t>Direct Debit</t>
  </si>
  <si>
    <t>Cloud storage</t>
  </si>
  <si>
    <t>Electricity</t>
  </si>
  <si>
    <t>Apple Pay</t>
  </si>
  <si>
    <t>Gas</t>
  </si>
  <si>
    <t>Costco</t>
  </si>
  <si>
    <t>Food for the house</t>
  </si>
  <si>
    <t>Tesco</t>
  </si>
  <si>
    <t>water for the house</t>
  </si>
  <si>
    <t>egg</t>
  </si>
  <si>
    <t>Transportation - TfL</t>
  </si>
  <si>
    <t>To the office</t>
  </si>
  <si>
    <t>for the week</t>
  </si>
  <si>
    <t>To Milton keynes - train disruption</t>
  </si>
  <si>
    <t>Uber to PKG address</t>
  </si>
  <si>
    <t>Tyre puncture</t>
  </si>
  <si>
    <t>Yes</t>
  </si>
  <si>
    <t xml:space="preserve">flat tyre, puncture repaired </t>
  </si>
  <si>
    <t>Bills &amp; Fixed Expenses Schedule (typically 26th–3rd)</t>
  </si>
  <si>
    <t>Bill</t>
  </si>
  <si>
    <t>Typical Due Day</t>
  </si>
  <si>
    <t>Budget / Period</t>
  </si>
  <si>
    <t>Paid? (tick)</t>
  </si>
  <si>
    <t>Actual Paid (auto)</t>
  </si>
  <si>
    <t>Variance</t>
  </si>
  <si>
    <t>Credit Card</t>
  </si>
  <si>
    <t>Budget vs Actual by Period (26th–25th) — auto from Transactions</t>
  </si>
  <si>
    <t>Finance</t>
  </si>
  <si>
    <t>Household • 2026 • Periods run 26th → 25th</t>
  </si>
  <si>
    <t>Budget Income / Period</t>
  </si>
  <si>
    <t>Selected period</t>
  </si>
  <si>
    <t>Change this to view one period</t>
  </si>
  <si>
    <t>As of date</t>
  </si>
  <si>
    <t>Change to today when reviewing</t>
  </si>
  <si>
    <t>Income (selected period)</t>
  </si>
  <si>
    <t>Spending (selected period)</t>
  </si>
  <si>
    <t>Savings (selected period)</t>
  </si>
  <si>
    <t>Leftover (selected period)</t>
  </si>
  <si>
    <t>Planned Leftover / Period</t>
  </si>
  <si>
    <t>Income (Actual)</t>
  </si>
  <si>
    <t>Expenses (Actual)</t>
  </si>
  <si>
    <t>Savings (Actual)</t>
  </si>
  <si>
    <t>Leftover (Actual)</t>
  </si>
  <si>
    <t>Budgets (per period)</t>
  </si>
  <si>
    <t>Budget income / period</t>
  </si>
  <si>
    <t>Budget spend / period</t>
  </si>
  <si>
    <t>Savings target / period</t>
  </si>
  <si>
    <t>Planned leftover / period</t>
  </si>
  <si>
    <t>P4</t>
  </si>
  <si>
    <t>See Upcoming Bills →</t>
  </si>
  <si>
    <t>Go to tab: Upcoming Bills</t>
  </si>
  <si>
    <t>See Upcoming Income →</t>
  </si>
  <si>
    <t>Go to tab: Upcoming Income</t>
  </si>
  <si>
    <t>See Cashflow Timeline →</t>
  </si>
  <si>
    <t>Go to tab: Cashflow Timeline</t>
  </si>
  <si>
    <t>Minimum Balance Alert →</t>
  </si>
  <si>
    <t>See tab: Cashflow Timeline (row 9)</t>
  </si>
  <si>
    <t>P9</t>
  </si>
  <si>
    <t>P10</t>
  </si>
  <si>
    <t>P11</t>
  </si>
  <si>
    <t>P12</t>
  </si>
  <si>
    <t>Helper (do not edit)</t>
  </si>
  <si>
    <t>Spending Breakdown (selected period)</t>
  </si>
  <si>
    <t>ActualCol</t>
  </si>
  <si>
    <t>Actual</t>
  </si>
  <si>
    <t>Income</t>
  </si>
  <si>
    <t>Expenses</t>
  </si>
  <si>
    <t>Savings</t>
  </si>
  <si>
    <t>Leftover</t>
  </si>
  <si>
    <t>How to Use (Pay timelines + 26th–25th periods)</t>
  </si>
  <si>
    <t>• 1) Setup: Adjust any amounts (FM monthly, McD per-pay, Outlier per-pay) and targets.</t>
  </si>
  <si>
    <t>• 2) Periods: Your budgeting month is 26th–25th. This is already built for 2026 (P1..P12).</t>
  </si>
  <si>
    <t>• 3) Transactions: Log everything. Period auto-fills from the Date.</t>
  </si>
  <si>
    <t>• 4) Budget by Period: Budgets are prefilled from your breakdown; Actuals + Variance update automatically.</t>
  </si>
  <si>
    <t>• 5) Bills Schedule: Set the Period number you’re reviewing (e.g., 1) and it will pull actual payments for that period.</t>
  </si>
  <si>
    <t>• 6) Dashboard: Review performance per period and watch the charts.</t>
  </si>
  <si>
    <t>• Tip: For McD/Outlier variability, track actual income via Transactions — budgets stay as averages.</t>
  </si>
  <si>
    <t>Upcoming Bills</t>
  </si>
  <si>
    <t>Finance-style view • Uses your 26th→3rd bills window • Updates from Transactions</t>
  </si>
  <si>
    <t>Period Start</t>
  </si>
  <si>
    <t>Period End</t>
  </si>
  <si>
    <t>Due date (this period)</t>
  </si>
  <si>
    <t>Budget</t>
  </si>
  <si>
    <t>Actual paid</t>
  </si>
  <si>
    <t>Remaining</t>
  </si>
  <si>
    <t>Status</t>
  </si>
  <si>
    <t>Upcoming Income</t>
  </si>
  <si>
    <t>Finance-style view • Uses Income Schedule • Change As-of date to see next 7/14/30 days</t>
  </si>
  <si>
    <t>Window (days)</t>
  </si>
  <si>
    <t>Try 7 / 14 / 30</t>
  </si>
  <si>
    <t>Expected (next window)</t>
  </si>
  <si>
    <t>FM</t>
  </si>
  <si>
    <t>McD</t>
  </si>
  <si>
    <t>Total</t>
  </si>
  <si>
    <t>Outlier</t>
  </si>
  <si>
    <t>Expected</t>
  </si>
  <si>
    <t>Days away</t>
  </si>
  <si>
    <t>Cashflow Timeline</t>
  </si>
  <si>
    <t>Apple Finance style • Expected balance movement (income schedule + bills due) • Set start balance + window</t>
  </si>
  <si>
    <t>Starting balance (£)</t>
  </si>
  <si>
    <t>Expected net change (window)</t>
  </si>
  <si>
    <t>Expected ending balance</t>
  </si>
  <si>
    <t>Expected income (window)</t>
  </si>
  <si>
    <t>Expected bills (window)</t>
  </si>
  <si>
    <t>Expected minimum balance (window)</t>
  </si>
  <si>
    <t>Date of minimum balance</t>
  </si>
  <si>
    <t>Days until minimum</t>
  </si>
  <si>
    <t>Alert</t>
  </si>
  <si>
    <t>Day</t>
  </si>
  <si>
    <t>Expected Income</t>
  </si>
  <si>
    <t>Expected Bills</t>
  </si>
  <si>
    <t>Net Flow</t>
  </si>
  <si>
    <t>Running Balance</t>
  </si>
  <si>
    <t>Balance_for_Min</t>
  </si>
  <si>
    <t>December Salary</t>
  </si>
  <si>
    <t>Bank transfer</t>
  </si>
  <si>
    <t>N/A</t>
  </si>
  <si>
    <t>Revolut</t>
  </si>
  <si>
    <t>Monzo</t>
  </si>
  <si>
    <t>Halifax</t>
  </si>
  <si>
    <t>Cerelac</t>
  </si>
  <si>
    <t>food for Josh</t>
  </si>
  <si>
    <t>Gas for the house</t>
  </si>
  <si>
    <t xml:space="preserve">GRA transport </t>
  </si>
  <si>
    <t>Sent to JJ, trip to GRA office</t>
  </si>
  <si>
    <t>FM Tithe</t>
  </si>
  <si>
    <t>Tithe for December</t>
  </si>
  <si>
    <t>Utility Sacrifices</t>
  </si>
  <si>
    <t>Utility sacrifice for December</t>
  </si>
  <si>
    <t>Thanksgiving Offering</t>
  </si>
  <si>
    <t>Offering for December - PJ</t>
  </si>
  <si>
    <t>Laptop</t>
  </si>
  <si>
    <t>Mummy J and Mummy R</t>
  </si>
  <si>
    <t>Allowance for December</t>
  </si>
  <si>
    <t>House Keep</t>
  </si>
  <si>
    <t>Outlier on 24/12/2025</t>
  </si>
  <si>
    <t>Weekly allowance</t>
  </si>
  <si>
    <t>Outlier Tithe</t>
  </si>
  <si>
    <t>Tithe on Outlier</t>
  </si>
  <si>
    <t>Wipes</t>
  </si>
  <si>
    <t>wipes for Josh</t>
  </si>
  <si>
    <t>Monzo payment</t>
  </si>
  <si>
    <t>Monzo payment - Dec</t>
  </si>
  <si>
    <t>Credit Card Payment</t>
  </si>
  <si>
    <t>Sacrifice for Dec</t>
  </si>
  <si>
    <t>December contribution</t>
  </si>
  <si>
    <t>Actuals</t>
  </si>
  <si>
    <t>Items</t>
  </si>
  <si>
    <t xml:space="preserve">Lebara </t>
  </si>
  <si>
    <t>Data wifey</t>
  </si>
  <si>
    <t>Body wash</t>
  </si>
  <si>
    <t>Avon comestics</t>
  </si>
  <si>
    <t>Gift to families</t>
  </si>
  <si>
    <t>Gift for the Christmas Season</t>
  </si>
  <si>
    <t>One-Off</t>
  </si>
  <si>
    <t>Electricity for the house</t>
  </si>
  <si>
    <t>Ingredients for cake</t>
  </si>
  <si>
    <t>Cake for Auntie Faith &amp; Fam</t>
  </si>
  <si>
    <t>Fuel for Renault Scenic</t>
  </si>
  <si>
    <t>on the 24/12 - Fuel</t>
  </si>
  <si>
    <t>payment for wifey's phone</t>
  </si>
  <si>
    <t>last payment for iphone 13</t>
  </si>
  <si>
    <t>Subription for Capcut</t>
  </si>
  <si>
    <t>Monthly subscription for Capcut</t>
  </si>
  <si>
    <t>Gas for house</t>
  </si>
  <si>
    <t>Hosting Samuel and Honey</t>
  </si>
  <si>
    <t>Boba for the house</t>
  </si>
  <si>
    <t xml:space="preserve">*Until the fill amount goes out, it doesn't change to "paid" even though it has been paid, eg is One-Off Givivng (Christmas), where amounts paid was £457.37 instead of the initially planned amount of £500. </t>
  </si>
  <si>
    <t>Capital one for Dec</t>
  </si>
  <si>
    <t>Water bill for December</t>
  </si>
  <si>
    <t>Laptop for December</t>
  </si>
  <si>
    <t>Community fibre/ internet for December</t>
  </si>
  <si>
    <t>* To add transfers for prudential</t>
  </si>
  <si>
    <t>- GhS 100k for children Education</t>
  </si>
  <si>
    <t>- GhS 100K for Bishop at 60years</t>
  </si>
  <si>
    <t>- GhS 12K for student loan</t>
  </si>
  <si>
    <t>- GhS 50K for Mr Mensah</t>
  </si>
  <si>
    <t>Monthly contribution</t>
  </si>
  <si>
    <t>GhS</t>
  </si>
  <si>
    <t>from April</t>
  </si>
  <si>
    <t>from Dec</t>
  </si>
  <si>
    <t>£</t>
  </si>
  <si>
    <t>Water and toothpaste</t>
  </si>
  <si>
    <t>Barclays Prtnr Fin</t>
  </si>
  <si>
    <t>Iphone payment</t>
  </si>
  <si>
    <t>Mayor for his Provisional Lisence</t>
  </si>
  <si>
    <t>Support for lisence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</si>
</sst>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£&quot;#,##0.00;[Red]\-&quot;£&quot;#,##0.00"/>
    <numFmt numFmtId="43" formatCode="_-* #,##0.00_-;\-* #,##0.00_-;_-* &quot;-&quot;??_-;_-@_-"/>
    <numFmt numFmtId="164" formatCode="\£#,##0.00"/>
    <numFmt numFmtId="165" formatCode="dd\-mmm\-yyyy"/>
    <numFmt numFmtId="166" formatCode="\£#,##0"/>
    <numFmt numFmtId="167" formatCode="#,##0.0"/>
  </numFmts>
  <fonts count="1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rgb="FF1D1D1F"/>
      <name val="Calibri"/>
    </font>
    <font>
      <b/>
      <sz val="18"/>
      <color rgb="FF1D1D1F"/>
      <name val="Calibri"/>
    </font>
    <font>
      <sz val="10"/>
      <color rgb="FF6E6E73"/>
      <name val="Calibri"/>
    </font>
    <font>
      <b/>
      <sz val="10"/>
      <color rgb="FF6E6E73"/>
      <name val="Calibri"/>
    </font>
    <font>
      <b/>
      <sz val="11"/>
      <color rgb="FF1D1D1F"/>
      <name val="Calibri"/>
    </font>
    <font>
      <b/>
      <sz val="11"/>
      <color rgb="FF6E6E73"/>
      <name val="Calibri"/>
    </font>
    <font>
      <b/>
      <sz val="12"/>
      <color rgb="FF1D1D1F"/>
      <name val="Calibri"/>
    </font>
    <font>
      <sz val="11"/>
      <color rgb="FF6E6E73"/>
      <name val="Calibri"/>
    </font>
    <font>
      <b/>
      <sz val="9"/>
      <color rgb="FF6E6E73"/>
      <name val="Calibri"/>
    </font>
    <font>
      <b/>
      <sz val="14"/>
      <color rgb="FF1D1D1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F3FF"/>
      </patternFill>
    </fill>
    <fill>
      <patternFill patternType="solid">
        <fgColor rgb="FFF2F2F2"/>
      </patternFill>
    </fill>
    <fill>
      <patternFill patternType="solid">
        <fgColor rgb="FF0B6A6A"/>
      </patternFill>
    </fill>
    <fill>
      <patternFill patternType="solid">
        <fgColor rgb="FFFFFFFF"/>
      </patternFill>
    </fill>
    <fill>
      <patternFill patternType="solid">
        <fgColor rgb="FFF5F5F7"/>
      </patternFill>
    </fill>
    <fill>
      <patternFill patternType="solid">
        <fgColor rgb="FFD6E9FF"/>
      </patternFill>
    </fill>
    <fill>
      <patternFill patternType="solid">
        <fgColor rgb="FFE5E5EA"/>
      </patternFill>
    </fill>
    <fill>
      <patternFill patternType="solid">
        <fgColor rgb="FFFAFA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E5E5EA"/>
      </left>
      <right style="thin">
        <color rgb="FFE5E5EA"/>
      </right>
      <top style="thin">
        <color rgb="FFE5E5EA"/>
      </top>
      <bottom style="thin">
        <color rgb="FFE5E5EA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5E5EA"/>
      </left>
      <right style="thin">
        <color rgb="FFE5E5EA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"/>
    <xf numFmtId="43" fontId="16" fillId="0" borderId="0" applyFont="0" applyFill="0" applyBorder="0" applyAlignment="0" applyProtection="0"/>
  </cellStyleXfs>
  <cellXfs count="113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0" fillId="0" borderId="0" xfId="0" applyBorder="1" applyAlignment="1">
      <alignment horizontal="left" vertical="center" wrapText="1"/>
    </xf>
    <xf numFmtId="164" fontId="0" fillId="0" borderId="0" xfId="0" applyNumberFormat="1" applyBorder="1"/>
    <xf numFmtId="165" fontId="0" fillId="0" borderId="0" xfId="0" applyNumberFormat="1" applyBorder="1"/>
    <xf numFmtId="0" fontId="3" fillId="2" borderId="0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3" fillId="5" borderId="0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4" fillId="0" borderId="0" xfId="0" applyFont="1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Border="1"/>
    <xf numFmtId="0" fontId="7" fillId="6" borderId="2" xfId="0" applyFont="1" applyFill="1" applyAlignment="1">
      <alignment horizontal="left" vertical="center" wrapText="1"/>
    </xf>
    <xf numFmtId="0" fontId="6" fillId="6" borderId="2" xfId="0" applyFont="1" applyFill="1" applyAlignment="1">
      <alignment horizontal="left" vertical="center" wrapText="1"/>
    </xf>
    <xf numFmtId="0" fontId="8" fillId="6" borderId="2" xfId="0" applyFont="1" applyFill="1" applyAlignment="1">
      <alignment horizontal="left" vertical="center" wrapText="1"/>
    </xf>
    <xf numFmtId="164" fontId="6" fillId="6" borderId="2" xfId="0" applyNumberFormat="1" applyFont="1" applyFill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164" fontId="6" fillId="7" borderId="3" xfId="0" applyNumberFormat="1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165" fontId="6" fillId="6" borderId="2" xfId="0" applyNumberFormat="1" applyFont="1" applyFill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9" fillId="6" borderId="2" xfId="0" applyFont="1" applyFill="1" applyAlignment="1">
      <alignment horizontal="left" vertical="center" wrapText="1"/>
    </xf>
    <xf numFmtId="0" fontId="13" fillId="6" borderId="2" xfId="0" applyFont="1" applyFill="1" applyAlignment="1">
      <alignment horizontal="left" vertical="center" wrapText="1"/>
    </xf>
    <xf numFmtId="166" fontId="6" fillId="6" borderId="2" xfId="0" applyNumberFormat="1" applyFont="1" applyFill="1" applyAlignment="1">
      <alignment horizontal="left" vertical="center" wrapText="1"/>
    </xf>
    <xf numFmtId="166" fontId="7" fillId="8" borderId="3" xfId="0" applyNumberFormat="1" applyFont="1" applyFill="1" applyBorder="1" applyAlignment="1">
      <alignment horizontal="left" vertical="center" wrapText="1"/>
    </xf>
    <xf numFmtId="166" fontId="6" fillId="8" borderId="3" xfId="0" applyNumberFormat="1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12" fillId="6" borderId="2" xfId="0" applyFont="1" applyFill="1" applyAlignment="1">
      <alignment horizontal="left" vertical="center" wrapText="1"/>
    </xf>
    <xf numFmtId="165" fontId="6" fillId="7" borderId="3" xfId="0" applyNumberFormat="1" applyFont="1" applyFill="1" applyBorder="1" applyAlignment="1">
      <alignment horizontal="left" vertical="center" wrapText="1"/>
    </xf>
    <xf numFmtId="164" fontId="9" fillId="8" borderId="3" xfId="0" applyNumberFormat="1" applyFont="1" applyFill="1" applyBorder="1" applyAlignment="1">
      <alignment horizontal="left" vertical="center" wrapText="1"/>
    </xf>
    <xf numFmtId="164" fontId="6" fillId="8" borderId="3" xfId="0" applyNumberFormat="1" applyFont="1" applyFill="1" applyBorder="1" applyAlignment="1">
      <alignment horizontal="left" vertical="center" wrapText="1"/>
    </xf>
    <xf numFmtId="0" fontId="14" fillId="9" borderId="2" xfId="0" applyFont="1" applyFill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164" fontId="6" fillId="6" borderId="3" xfId="0" applyNumberFormat="1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164" fontId="6" fillId="6" borderId="3" xfId="0" applyNumberFormat="1" applyFont="1" applyFill="1" applyBorder="1" applyAlignment="1">
      <alignment horizontal="right" vertical="center" wrapText="1"/>
    </xf>
    <xf numFmtId="0" fontId="15" fillId="0" borderId="0" xfId="0" applyFont="1" applyBorder="1"/>
    <xf numFmtId="0" fontId="14" fillId="6" borderId="2" xfId="0" applyFont="1" applyFill="1" applyAlignment="1">
      <alignment horizontal="left" vertical="center" wrapText="1"/>
    </xf>
    <xf numFmtId="165" fontId="6" fillId="6" borderId="2" xfId="0" applyNumberFormat="1" applyFont="1" applyFill="1" applyAlignment="1">
      <alignment horizontal="center" vertical="center" wrapText="1"/>
    </xf>
    <xf numFmtId="165" fontId="8" fillId="6" borderId="2" xfId="0" applyNumberFormat="1" applyFont="1" applyFill="1" applyAlignment="1">
      <alignment horizontal="left" vertical="center" wrapText="1"/>
    </xf>
    <xf numFmtId="0" fontId="7" fillId="0" borderId="0" xfId="0" applyFont="1" applyBorder="1"/>
    <xf numFmtId="0" fontId="8" fillId="0" borderId="0" xfId="0" applyFont="1" applyBorder="1"/>
    <xf numFmtId="0" fontId="14" fillId="0" borderId="0" xfId="0" applyFont="1" applyBorder="1"/>
    <xf numFmtId="0" fontId="0" fillId="0" borderId="0" xfId="0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165" fontId="12" fillId="0" borderId="0" xfId="0" applyNumberFormat="1" applyFont="1" applyBorder="1" applyAlignment="1">
      <alignment horizontal="center" vertical="center" wrapText="1"/>
    </xf>
    <xf numFmtId="0" fontId="0" fillId="10" borderId="3" xfId="0" applyFill="1" applyBorder="1" applyAlignment="1">
      <alignment horizontal="left" vertical="center" wrapText="1"/>
    </xf>
    <xf numFmtId="165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right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165" fontId="0" fillId="6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right" vertical="center" wrapText="1"/>
    </xf>
    <xf numFmtId="0" fontId="0" fillId="6" borderId="3" xfId="0" applyFill="1" applyBorder="1" applyAlignment="1">
      <alignment horizontal="center" vertical="center" wrapText="1"/>
    </xf>
    <xf numFmtId="0" fontId="10" fillId="0" borderId="0" xfId="0" applyFont="1" applyBorder="1"/>
    <xf numFmtId="0" fontId="14" fillId="9" borderId="0" xfId="0" applyFont="1" applyFill="1" applyBorder="1"/>
    <xf numFmtId="164" fontId="14" fillId="9" borderId="0" xfId="0" applyNumberFormat="1" applyFont="1" applyFill="1" applyBorder="1"/>
    <xf numFmtId="0" fontId="14" fillId="8" borderId="3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6" borderId="0" xfId="0" applyFill="1" applyBorder="1"/>
    <xf numFmtId="164" fontId="14" fillId="6" borderId="3" xfId="0" applyNumberFormat="1" applyFont="1" applyFill="1" applyBorder="1" applyAlignment="1">
      <alignment horizontal="left" vertical="center" wrapText="1"/>
    </xf>
    <xf numFmtId="164" fontId="7" fillId="6" borderId="3" xfId="0" applyNumberFormat="1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164" fontId="0" fillId="6" borderId="3" xfId="0" applyNumberForma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 wrapText="1"/>
    </xf>
    <xf numFmtId="165" fontId="7" fillId="8" borderId="3" xfId="0" applyNumberFormat="1" applyFont="1" applyFill="1" applyBorder="1" applyAlignment="1">
      <alignment horizontal="left" vertical="center" wrapText="1"/>
    </xf>
    <xf numFmtId="1" fontId="7" fillId="8" borderId="3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2" borderId="0" xfId="0" applyFont="1" applyFill="1" applyBorder="1" applyAlignment="1">
      <alignment horizontal="center" vertical="center" wrapText="1"/>
    </xf>
    <xf numFmtId="166" fontId="0" fillId="0" borderId="0" xfId="0" applyNumberFormat="1" applyBorder="1"/>
    <xf numFmtId="164" fontId="0" fillId="7" borderId="3" xfId="0" applyNumberFormat="1" applyFill="1" applyBorder="1" applyAlignment="1">
      <alignment horizontal="right" vertical="center" wrapText="1"/>
    </xf>
    <xf numFmtId="0" fontId="5" fillId="5" borderId="0" xfId="0" applyFont="1" applyFill="1" applyBorder="1" applyAlignment="1">
      <alignment horizontal="center"/>
    </xf>
    <xf numFmtId="164" fontId="7" fillId="8" borderId="3" xfId="0" applyNumberFormat="1" applyFont="1" applyFill="1" applyBorder="1" applyAlignment="1">
      <alignment horizontal="left" vertical="center" wrapText="1"/>
    </xf>
    <xf numFmtId="14" fontId="0" fillId="0" borderId="0" xfId="0" applyNumberFormat="1" applyBorder="1"/>
    <xf numFmtId="0" fontId="0" fillId="0" borderId="4" xfId="0" applyBorder="1"/>
    <xf numFmtId="1" fontId="12" fillId="6" borderId="2" xfId="0" applyNumberFormat="1" applyFont="1" applyFill="1" applyAlignment="1">
      <alignment horizontal="center" vertical="center"/>
    </xf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164" fontId="0" fillId="0" borderId="4" xfId="0" applyNumberFormat="1" applyBorder="1"/>
    <xf numFmtId="0" fontId="0" fillId="6" borderId="5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0" borderId="2" xfId="0"/>
    <xf numFmtId="8" fontId="0" fillId="0" borderId="0" xfId="0" applyNumberFormat="1" applyBorder="1"/>
    <xf numFmtId="4" fontId="0" fillId="0" borderId="0" xfId="0" applyNumberFormat="1" applyBorder="1"/>
    <xf numFmtId="167" fontId="0" fillId="0" borderId="0" xfId="0" applyNumberFormat="1" applyBorder="1"/>
    <xf numFmtId="0" fontId="0" fillId="0" borderId="2" xfId="0" applyBorder="1"/>
    <xf numFmtId="0" fontId="0" fillId="0" borderId="2" xfId="0" applyFill="1" applyBorder="1"/>
    <xf numFmtId="43" fontId="0" fillId="0" borderId="0" xfId="1" applyFont="1" applyBorder="1"/>
    <xf numFmtId="43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17" fillId="0" borderId="7" xfId="0" applyFont="1" applyBorder="1"/>
    <xf numFmtId="0" fontId="0" fillId="0" borderId="8" xfId="0" applyBorder="1"/>
    <xf numFmtId="0" fontId="17" fillId="0" borderId="9" xfId="0" applyFont="1" applyBorder="1"/>
    <xf numFmtId="0" fontId="0" fillId="0" borderId="10" xfId="0" applyBorder="1"/>
    <xf numFmtId="0" fontId="0" fillId="0" borderId="9" xfId="0" quotePrefix="1" applyBorder="1"/>
    <xf numFmtId="43" fontId="0" fillId="0" borderId="2" xfId="1" applyFont="1" applyBorder="1"/>
    <xf numFmtId="0" fontId="0" fillId="0" borderId="9" xfId="0" quotePrefix="1" applyFill="1" applyBorder="1"/>
    <xf numFmtId="0" fontId="0" fillId="0" borderId="11" xfId="0" applyBorder="1"/>
    <xf numFmtId="0" fontId="0" fillId="0" borderId="12" xfId="0" applyBorder="1"/>
    <xf numFmtId="43" fontId="17" fillId="0" borderId="12" xfId="0" applyNumberFormat="1" applyFont="1" applyBorder="1"/>
    <xf numFmtId="0" fontId="0" fillId="0" borderId="13" xfId="0" applyBorder="1"/>
    <xf numFmtId="0" fontId="17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Income • Spending • Savings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Dashboard!$B$63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Dashboard!$B$64:$B$75</c:f>
              <c:numCache>
                <c:formatCode>\£#,##0.00</c:formatCode>
                <c:ptCount val="12"/>
                <c:pt idx="0">
                  <c:v>3811.48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67-42E1-BC57-AD842BFFEABC}"/>
            </c:ext>
          </c:extLst>
        </c:ser>
        <c:ser>
          <c:idx val="1"/>
          <c:order val="1"/>
          <c:tx>
            <c:strRef>
              <c:f>Dashboard!$C$63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Dashboard!$C$64:$C$75</c:f>
              <c:numCache>
                <c:formatCode>\£#,##0.00</c:formatCode>
                <c:ptCount val="12"/>
                <c:pt idx="0">
                  <c:v>2179.9800000000005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67-42E1-BC57-AD842BFFEABC}"/>
            </c:ext>
          </c:extLst>
        </c:ser>
        <c:ser>
          <c:idx val="2"/>
          <c:order val="2"/>
          <c:tx>
            <c:strRef>
              <c:f>Dashboard!$D$63</c:f>
              <c:strCache>
                <c:ptCount val="1"/>
                <c:pt idx="0">
                  <c:v>Savings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Dashboard!$D$64:$D$75</c:f>
              <c:numCache>
                <c:formatCode>\£#,##0.00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467-42E1-BC57-AD842BFF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Leftover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Dashboard!$E$63</c:f>
              <c:strCache>
                <c:ptCount val="1"/>
                <c:pt idx="0">
                  <c:v>Leftover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Dashboard!$E$64:$E$75</c:f>
              <c:numCache>
                <c:formatCode>\£#,##0.00</c:formatCode>
                <c:ptCount val="12"/>
                <c:pt idx="0">
                  <c:v>1631.4999999999995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4-419D-A6D5-69D1A023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Selected period spend mix</a:t>
            </a:r>
          </a:p>
        </c:rich>
      </c:tx>
      <c:layout>
        <c:manualLayout>
          <c:xMode val="edge"/>
          <c:yMode val="edge"/>
          <c:x val="0.32429467592592592"/>
          <c:y val="2.469444444444444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Dashboard!$I$61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Dashboard!$H$62:$H$69</c:f>
              <c:strCache>
                <c:ptCount val="8"/>
                <c:pt idx="0">
                  <c:v>Food</c:v>
                </c:pt>
                <c:pt idx="1">
                  <c:v>Others</c:v>
                </c:pt>
                <c:pt idx="2">
                  <c:v>Donations (Variable)</c:v>
                </c:pt>
                <c:pt idx="3">
                  <c:v>Tithe</c:v>
                </c:pt>
                <c:pt idx="4">
                  <c:v>Offerings</c:v>
                </c:pt>
                <c:pt idx="5">
                  <c:v>Rent</c:v>
                </c:pt>
                <c:pt idx="6">
                  <c:v>Credit Card</c:v>
                </c:pt>
                <c:pt idx="7">
                  <c:v>Fuel</c:v>
                </c:pt>
              </c:strCache>
            </c:strRef>
          </c:cat>
          <c:val>
            <c:numRef>
              <c:f>Dashboard!$I$62:$I$69</c:f>
              <c:numCache>
                <c:formatCode>\£#,##0.00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34</c:v>
                </c:pt>
                <c:pt idx="3">
                  <c:v>383</c:v>
                </c:pt>
                <c:pt idx="4">
                  <c:v>140</c:v>
                </c:pt>
                <c:pt idx="5">
                  <c:v>0</c:v>
                </c:pt>
                <c:pt idx="6">
                  <c:v>0</c:v>
                </c:pt>
                <c:pt idx="7">
                  <c:v>30.17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9-4617-BF36-6BE3CFEB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Remaining this period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'Upcoming Bills'!$E$9</c:f>
              <c:strCache>
                <c:ptCount val="1"/>
                <c:pt idx="0">
                  <c:v>Remaining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'Upcoming Bills'!$A$10:$A$24</c:f>
              <c:strCache>
                <c:ptCount val="15"/>
                <c:pt idx="0">
                  <c:v>Rent</c:v>
                </c:pt>
                <c:pt idx="1">
                  <c:v>Insurance</c:v>
                </c:pt>
                <c:pt idx="2">
                  <c:v>Road Tax</c:v>
                </c:pt>
                <c:pt idx="3">
                  <c:v>Water Bill</c:v>
                </c:pt>
                <c:pt idx="4">
                  <c:v>Community Fibre / Internet</c:v>
                </c:pt>
                <c:pt idx="5">
                  <c:v>Electricity &amp; Gas</c:v>
                </c:pt>
                <c:pt idx="6">
                  <c:v>iPhone Payments</c:v>
                </c:pt>
                <c:pt idx="7">
                  <c:v>Parents</c:v>
                </c:pt>
                <c:pt idx="8">
                  <c:v>Credit Card Payment</c:v>
                </c:pt>
                <c:pt idx="9">
                  <c:v>Fuel</c:v>
                </c:pt>
                <c:pt idx="10">
                  <c:v>Tithe</c:v>
                </c:pt>
                <c:pt idx="11">
                  <c:v>Offerings</c:v>
                </c:pt>
                <c:pt idx="12">
                  <c:v>Charity - Perez Uni</c:v>
                </c:pt>
                <c:pt idx="13">
                  <c:v>Charity - JPC Utilities</c:v>
                </c:pt>
                <c:pt idx="14">
                  <c:v>Savings Transfer</c:v>
                </c:pt>
              </c:strCache>
            </c:strRef>
          </c:cat>
          <c:val>
            <c:numRef>
              <c:f>'Upcoming Bills'!$E$10:$E$24</c:f>
              <c:numCache>
                <c:formatCode>\£#,##0.00</c:formatCode>
                <c:ptCount val="15"/>
                <c:pt idx="0">
                  <c:v>550</c:v>
                </c:pt>
                <c:pt idx="1">
                  <c:v>175</c:v>
                </c:pt>
                <c:pt idx="2">
                  <c:v>34</c:v>
                </c:pt>
                <c:pt idx="3">
                  <c:v>0.23000000000000398</c:v>
                </c:pt>
                <c:pt idx="4">
                  <c:v>0.17000000000000171</c:v>
                </c:pt>
                <c:pt idx="5">
                  <c:v>150</c:v>
                </c:pt>
                <c:pt idx="6">
                  <c:v>54.05</c:v>
                </c:pt>
                <c:pt idx="7">
                  <c:v>0</c:v>
                </c:pt>
                <c:pt idx="8">
                  <c:v>-38.919999999999959</c:v>
                </c:pt>
                <c:pt idx="9">
                  <c:v>69.83</c:v>
                </c:pt>
                <c:pt idx="10">
                  <c:v>27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4-4E95-AA7E-B88C4D5A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Bill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Expected income by source (window)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'Upcoming Income'!$I$6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'Upcoming Income'!$H$7:$H$9</c:f>
              <c:strCache>
                <c:ptCount val="3"/>
                <c:pt idx="0">
                  <c:v>FM</c:v>
                </c:pt>
                <c:pt idx="1">
                  <c:v>McD</c:v>
                </c:pt>
                <c:pt idx="2">
                  <c:v>Outlier</c:v>
                </c:pt>
              </c:strCache>
            </c:strRef>
          </c:cat>
          <c:val>
            <c:numRef>
              <c:f>'Upcoming Income'!$I$7:$I$9</c:f>
              <c:numCache>
                <c:formatCode>\£#,##0.00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7CD-84A9-4C191F2A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Projected balance (window)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'Cashflow Timeline'!$F$11</c:f>
              <c:strCache>
                <c:ptCount val="1"/>
                <c:pt idx="0">
                  <c:v>Running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'Cashflow Timeline'!$A$12:$A$131</c:f>
              <c:strCache>
                <c:ptCount val="30"/>
                <c:pt idx="0">
                  <c:v>29-Dec-2025</c:v>
                </c:pt>
                <c:pt idx="1">
                  <c:v>30-Dec-2025</c:v>
                </c:pt>
                <c:pt idx="2">
                  <c:v>31-Dec-2025</c:v>
                </c:pt>
                <c:pt idx="3">
                  <c:v>01-Jan-2026</c:v>
                </c:pt>
                <c:pt idx="4">
                  <c:v>02-Jan-2026</c:v>
                </c:pt>
                <c:pt idx="5">
                  <c:v>03-Jan-2026</c:v>
                </c:pt>
                <c:pt idx="6">
                  <c:v>04-Jan-2026</c:v>
                </c:pt>
                <c:pt idx="7">
                  <c:v>05-Jan-2026</c:v>
                </c:pt>
                <c:pt idx="8">
                  <c:v>06-Jan-2026</c:v>
                </c:pt>
                <c:pt idx="9">
                  <c:v>07-Jan-2026</c:v>
                </c:pt>
                <c:pt idx="10">
                  <c:v>08-Jan-2026</c:v>
                </c:pt>
                <c:pt idx="11">
                  <c:v>09-Jan-2026</c:v>
                </c:pt>
                <c:pt idx="12">
                  <c:v>10-Jan-2026</c:v>
                </c:pt>
                <c:pt idx="13">
                  <c:v>11-Jan-2026</c:v>
                </c:pt>
                <c:pt idx="14">
                  <c:v>12-Jan-2026</c:v>
                </c:pt>
                <c:pt idx="15">
                  <c:v>13-Jan-2026</c:v>
                </c:pt>
                <c:pt idx="16">
                  <c:v>14-Jan-2026</c:v>
                </c:pt>
                <c:pt idx="17">
                  <c:v>15-Jan-2026</c:v>
                </c:pt>
                <c:pt idx="18">
                  <c:v>16-Jan-2026</c:v>
                </c:pt>
                <c:pt idx="19">
                  <c:v>17-Jan-2026</c:v>
                </c:pt>
                <c:pt idx="20">
                  <c:v>18-Jan-2026</c:v>
                </c:pt>
                <c:pt idx="21">
                  <c:v>19-Jan-2026</c:v>
                </c:pt>
                <c:pt idx="22">
                  <c:v>20-Jan-2026</c:v>
                </c:pt>
                <c:pt idx="23">
                  <c:v>21-Jan-2026</c:v>
                </c:pt>
                <c:pt idx="24">
                  <c:v>22-Jan-2026</c:v>
                </c:pt>
                <c:pt idx="25">
                  <c:v>23-Jan-2026</c:v>
                </c:pt>
                <c:pt idx="26">
                  <c:v>24-Jan-2026</c:v>
                </c:pt>
                <c:pt idx="27">
                  <c:v>25-Jan-2026</c:v>
                </c:pt>
                <c:pt idx="28">
                  <c:v>26-Jan-2026</c:v>
                </c:pt>
                <c:pt idx="29">
                  <c:v>27-Jan-2026</c:v>
                </c:pt>
              </c:strCache>
            </c:strRef>
          </c:cat>
          <c:val>
            <c:numRef>
              <c:f>'Cashflow Timeline'!$F$12:$F$131</c:f>
              <c:numCache>
                <c:formatCode>\£#,##0.00</c:formatCode>
                <c:ptCount val="120"/>
                <c:pt idx="0">
                  <c:v>-1093</c:v>
                </c:pt>
                <c:pt idx="1">
                  <c:v>-1093</c:v>
                </c:pt>
                <c:pt idx="2">
                  <c:v>-993</c:v>
                </c:pt>
                <c:pt idx="3">
                  <c:v>-593</c:v>
                </c:pt>
                <c:pt idx="4">
                  <c:v>-593</c:v>
                </c:pt>
                <c:pt idx="5">
                  <c:v>-593</c:v>
                </c:pt>
                <c:pt idx="6">
                  <c:v>-593</c:v>
                </c:pt>
                <c:pt idx="7">
                  <c:v>-593</c:v>
                </c:pt>
                <c:pt idx="8">
                  <c:v>-593</c:v>
                </c:pt>
                <c:pt idx="9">
                  <c:v>-493</c:v>
                </c:pt>
                <c:pt idx="10">
                  <c:v>-493</c:v>
                </c:pt>
                <c:pt idx="11">
                  <c:v>-493</c:v>
                </c:pt>
                <c:pt idx="12">
                  <c:v>-493</c:v>
                </c:pt>
                <c:pt idx="13">
                  <c:v>-493</c:v>
                </c:pt>
                <c:pt idx="14">
                  <c:v>-493</c:v>
                </c:pt>
                <c:pt idx="15">
                  <c:v>-493</c:v>
                </c:pt>
                <c:pt idx="16">
                  <c:v>-393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107</c:v>
                </c:pt>
                <c:pt idx="24">
                  <c:v>107</c:v>
                </c:pt>
                <c:pt idx="25">
                  <c:v>107</c:v>
                </c:pt>
                <c:pt idx="26">
                  <c:v>107</c:v>
                </c:pt>
                <c:pt idx="27">
                  <c:v>107</c:v>
                </c:pt>
                <c:pt idx="28">
                  <c:v>3607</c:v>
                </c:pt>
                <c:pt idx="29">
                  <c:v>3607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DE-42F8-A7BD-95B3D896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72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17</xdr:row>
      <xdr:rowOff>0</xdr:rowOff>
    </xdr:from>
    <xdr:ext cx="72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556260</xdr:colOff>
      <xdr:row>3</xdr:row>
      <xdr:rowOff>220980</xdr:rowOff>
    </xdr:from>
    <xdr:ext cx="43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08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54"/>
  <sheetViews>
    <sheetView tabSelected="1" workbookViewId="0">
      <pane ySplit="3" topLeftCell="A16" activePane="bottomLeft" state="frozen"/>
      <selection pane="bottomLeft" activeCell="D27" sqref="D27"/>
    </sheetView>
  </sheetViews>
  <sheetFormatPr defaultRowHeight="14.4" x14ac:dyDescent="0.3"/>
  <cols>
    <col min="1" max="1" width="42" customWidth="1"/>
    <col min="2" max="2" width="30" customWidth="1"/>
  </cols>
  <sheetData>
    <row r="1" spans="1:2" ht="21" customHeight="1" x14ac:dyDescent="0.4">
      <c r="A1" s="1" t="s">
        <v>0</v>
      </c>
    </row>
    <row r="3" spans="1:2" ht="15.6" customHeight="1" x14ac:dyDescent="0.3">
      <c r="A3" s="2" t="s">
        <v>1</v>
      </c>
    </row>
    <row r="4" spans="1:2" x14ac:dyDescent="0.3">
      <c r="A4" s="3" t="s">
        <v>2</v>
      </c>
      <c r="B4" s="4">
        <v>3500</v>
      </c>
    </row>
    <row r="5" spans="1:2" x14ac:dyDescent="0.3">
      <c r="A5" s="3" t="s">
        <v>3</v>
      </c>
      <c r="B5" s="4">
        <v>400</v>
      </c>
    </row>
    <row r="6" spans="1:2" x14ac:dyDescent="0.3">
      <c r="A6" s="3" t="s">
        <v>4</v>
      </c>
      <c r="B6" s="4">
        <v>100</v>
      </c>
    </row>
    <row r="7" spans="1:2" x14ac:dyDescent="0.3">
      <c r="A7" s="3" t="s">
        <v>5</v>
      </c>
      <c r="B7" s="5">
        <v>46023</v>
      </c>
    </row>
    <row r="8" spans="1:2" x14ac:dyDescent="0.3">
      <c r="A8" s="3" t="s">
        <v>6</v>
      </c>
      <c r="B8" s="5">
        <v>46029</v>
      </c>
    </row>
    <row r="10" spans="1:2" ht="15.6" customHeight="1" x14ac:dyDescent="0.3">
      <c r="A10" s="2" t="s">
        <v>7</v>
      </c>
    </row>
    <row r="11" spans="1:2" x14ac:dyDescent="0.3">
      <c r="A11" t="s">
        <v>8</v>
      </c>
      <c r="B11" s="4">
        <v>1050</v>
      </c>
    </row>
    <row r="12" spans="1:2" x14ac:dyDescent="0.3">
      <c r="A12" t="s">
        <v>9</v>
      </c>
      <c r="B12" s="4">
        <v>420</v>
      </c>
    </row>
    <row r="15" spans="1:2" x14ac:dyDescent="0.3">
      <c r="A15" s="17" t="s">
        <v>10</v>
      </c>
    </row>
    <row r="16" spans="1:2" x14ac:dyDescent="0.3">
      <c r="A16" s="77" t="s">
        <v>11</v>
      </c>
      <c r="B16" s="77" t="s">
        <v>12</v>
      </c>
    </row>
    <row r="17" spans="1:2" x14ac:dyDescent="0.3">
      <c r="A17" s="7" t="s">
        <v>13</v>
      </c>
      <c r="B17" s="8" t="s">
        <v>14</v>
      </c>
    </row>
    <row r="18" spans="1:2" x14ac:dyDescent="0.3">
      <c r="A18" s="7" t="s">
        <v>13</v>
      </c>
      <c r="B18" s="8" t="s">
        <v>15</v>
      </c>
    </row>
    <row r="19" spans="1:2" x14ac:dyDescent="0.3">
      <c r="A19" s="7" t="s">
        <v>13</v>
      </c>
      <c r="B19" s="8" t="s">
        <v>16</v>
      </c>
    </row>
    <row r="20" spans="1:2" x14ac:dyDescent="0.3">
      <c r="A20" s="75" t="s">
        <v>17</v>
      </c>
      <c r="B20" s="8" t="s">
        <v>18</v>
      </c>
    </row>
    <row r="21" spans="1:2" x14ac:dyDescent="0.3">
      <c r="A21" s="7" t="s">
        <v>17</v>
      </c>
      <c r="B21" s="8" t="s">
        <v>19</v>
      </c>
    </row>
    <row r="22" spans="1:2" x14ac:dyDescent="0.3">
      <c r="A22" s="7" t="s">
        <v>17</v>
      </c>
      <c r="B22" s="8" t="s">
        <v>20</v>
      </c>
    </row>
    <row r="23" spans="1:2" x14ac:dyDescent="0.3">
      <c r="A23" s="7" t="s">
        <v>17</v>
      </c>
      <c r="B23" s="8" t="s">
        <v>21</v>
      </c>
    </row>
    <row r="24" spans="1:2" x14ac:dyDescent="0.3">
      <c r="A24" s="7" t="s">
        <v>17</v>
      </c>
      <c r="B24" s="8" t="s">
        <v>22</v>
      </c>
    </row>
    <row r="25" spans="1:2" x14ac:dyDescent="0.3">
      <c r="A25" s="76" t="s">
        <v>23</v>
      </c>
      <c r="B25" s="8" t="s">
        <v>24</v>
      </c>
    </row>
    <row r="26" spans="1:2" x14ac:dyDescent="0.3">
      <c r="A26" s="9" t="s">
        <v>23</v>
      </c>
      <c r="B26" s="8" t="s">
        <v>25</v>
      </c>
    </row>
    <row r="27" spans="1:2" x14ac:dyDescent="0.3">
      <c r="A27" s="9" t="s">
        <v>23</v>
      </c>
      <c r="B27" s="8" t="s">
        <v>26</v>
      </c>
    </row>
    <row r="28" spans="1:2" x14ac:dyDescent="0.3">
      <c r="A28" s="9" t="s">
        <v>23</v>
      </c>
      <c r="B28" s="8" t="s">
        <v>27</v>
      </c>
    </row>
    <row r="29" spans="1:2" x14ac:dyDescent="0.3">
      <c r="A29" s="9" t="s">
        <v>23</v>
      </c>
      <c r="B29" s="8" t="s">
        <v>28</v>
      </c>
    </row>
    <row r="30" spans="1:2" x14ac:dyDescent="0.3">
      <c r="A30" s="9" t="s">
        <v>23</v>
      </c>
      <c r="B30" s="8" t="s">
        <v>29</v>
      </c>
    </row>
    <row r="31" spans="1:2" x14ac:dyDescent="0.3">
      <c r="A31" s="9" t="s">
        <v>23</v>
      </c>
      <c r="B31" s="8" t="s">
        <v>30</v>
      </c>
    </row>
    <row r="32" spans="1:2" x14ac:dyDescent="0.3">
      <c r="A32" s="9" t="s">
        <v>23</v>
      </c>
      <c r="B32" s="8" t="s">
        <v>31</v>
      </c>
    </row>
    <row r="33" spans="1:2" x14ac:dyDescent="0.3">
      <c r="A33" s="9" t="s">
        <v>23</v>
      </c>
      <c r="B33" s="8" t="s">
        <v>32</v>
      </c>
    </row>
    <row r="34" spans="1:2" x14ac:dyDescent="0.3">
      <c r="A34" s="9" t="s">
        <v>23</v>
      </c>
      <c r="B34" s="8" t="s">
        <v>250</v>
      </c>
    </row>
    <row r="35" spans="1:2" s="91" customFormat="1" x14ac:dyDescent="0.3">
      <c r="A35" s="9" t="s">
        <v>23</v>
      </c>
      <c r="B35" s="8" t="s">
        <v>241</v>
      </c>
    </row>
    <row r="36" spans="1:2" s="91" customFormat="1" x14ac:dyDescent="0.3">
      <c r="A36" s="9" t="s">
        <v>23</v>
      </c>
      <c r="B36" s="8" t="s">
        <v>238</v>
      </c>
    </row>
    <row r="37" spans="1:2" s="91" customFormat="1" x14ac:dyDescent="0.3">
      <c r="A37" s="9" t="s">
        <v>23</v>
      </c>
      <c r="B37" t="s">
        <v>39</v>
      </c>
    </row>
    <row r="38" spans="1:2" x14ac:dyDescent="0.3">
      <c r="A38" s="9" t="s">
        <v>33</v>
      </c>
      <c r="B38" s="8" t="s">
        <v>34</v>
      </c>
    </row>
    <row r="39" spans="1:2" x14ac:dyDescent="0.3">
      <c r="A39" s="9" t="s">
        <v>33</v>
      </c>
      <c r="B39" s="8" t="s">
        <v>35</v>
      </c>
    </row>
    <row r="40" spans="1:2" x14ac:dyDescent="0.3">
      <c r="A40" s="7" t="s">
        <v>36</v>
      </c>
      <c r="B40" s="8" t="s">
        <v>37</v>
      </c>
    </row>
    <row r="41" spans="1:2" x14ac:dyDescent="0.3">
      <c r="A41" t="s">
        <v>38</v>
      </c>
      <c r="B41" t="s">
        <v>40</v>
      </c>
    </row>
    <row r="42" spans="1:2" s="91" customFormat="1" x14ac:dyDescent="0.3"/>
    <row r="43" spans="1:2" s="91" customFormat="1" x14ac:dyDescent="0.3"/>
    <row r="46" spans="1:2" ht="15.6" customHeight="1" x14ac:dyDescent="0.3">
      <c r="A46" s="2" t="s">
        <v>41</v>
      </c>
    </row>
    <row r="47" spans="1:2" x14ac:dyDescent="0.3">
      <c r="A47" s="17" t="s">
        <v>42</v>
      </c>
      <c r="B47" s="78">
        <v>140</v>
      </c>
    </row>
    <row r="48" spans="1:2" x14ac:dyDescent="0.3">
      <c r="A48" s="17" t="s">
        <v>43</v>
      </c>
      <c r="B48" s="78">
        <v>4</v>
      </c>
    </row>
    <row r="49" spans="1:2" x14ac:dyDescent="0.3">
      <c r="A49" s="17" t="s">
        <v>44</v>
      </c>
      <c r="B49" s="78">
        <f>B47*B48</f>
        <v>560</v>
      </c>
    </row>
    <row r="52" spans="1:2" ht="15.6" customHeight="1" x14ac:dyDescent="0.3">
      <c r="A52" s="2" t="s">
        <v>45</v>
      </c>
    </row>
    <row r="53" spans="1:2" x14ac:dyDescent="0.3">
      <c r="A53" t="s">
        <v>46</v>
      </c>
      <c r="B53" s="78">
        <v>500</v>
      </c>
    </row>
    <row r="54" spans="1:2" x14ac:dyDescent="0.3">
      <c r="A54" t="s">
        <v>47</v>
      </c>
      <c r="B54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E6E73"/>
  </sheetPr>
  <dimension ref="A1:E16"/>
  <sheetViews>
    <sheetView workbookViewId="0">
      <selection activeCell="B13" sqref="B13"/>
    </sheetView>
  </sheetViews>
  <sheetFormatPr defaultRowHeight="14.4" x14ac:dyDescent="0.3"/>
  <cols>
    <col min="1" max="1" width="46" customWidth="1"/>
    <col min="2" max="2" width="18" customWidth="1"/>
    <col min="4" max="4" width="28" customWidth="1"/>
    <col min="5" max="5" width="18" customWidth="1"/>
  </cols>
  <sheetData>
    <row r="1" spans="1:5" ht="23.4" customHeight="1" x14ac:dyDescent="0.45">
      <c r="A1" s="48" t="s">
        <v>49</v>
      </c>
    </row>
    <row r="2" spans="1:5" x14ac:dyDescent="0.3">
      <c r="A2" s="49" t="s">
        <v>50</v>
      </c>
    </row>
    <row r="4" spans="1:5" x14ac:dyDescent="0.3">
      <c r="A4" s="50" t="s">
        <v>51</v>
      </c>
      <c r="B4" s="51">
        <f>Dashboard!B4</f>
        <v>1</v>
      </c>
      <c r="D4" s="50" t="s">
        <v>52</v>
      </c>
      <c r="E4" s="72">
        <f>Setup!$B$4</f>
        <v>3500</v>
      </c>
    </row>
    <row r="6" spans="1:5" x14ac:dyDescent="0.3">
      <c r="A6" s="26" t="s">
        <v>53</v>
      </c>
      <c r="B6" s="26" t="s">
        <v>54</v>
      </c>
    </row>
    <row r="7" spans="1:5" x14ac:dyDescent="0.3">
      <c r="A7" s="66" t="s">
        <v>55</v>
      </c>
      <c r="B7" s="79">
        <f>SUM('Bills Schedule'!$C$3:$C$200)</f>
        <v>4715</v>
      </c>
    </row>
    <row r="8" spans="1:5" x14ac:dyDescent="0.3">
      <c r="A8" s="66" t="s">
        <v>56</v>
      </c>
      <c r="B8" s="79">
        <f>Setup!B49</f>
        <v>560</v>
      </c>
    </row>
    <row r="9" spans="1:5" x14ac:dyDescent="0.3">
      <c r="A9" s="66" t="s">
        <v>57</v>
      </c>
      <c r="B9" s="79">
        <f>0</f>
        <v>0</v>
      </c>
    </row>
    <row r="10" spans="1:5" x14ac:dyDescent="0.3">
      <c r="A10" s="66" t="s">
        <v>58</v>
      </c>
      <c r="B10" s="79">
        <f>Setup!B53</f>
        <v>500</v>
      </c>
    </row>
    <row r="11" spans="1:5" x14ac:dyDescent="0.3">
      <c r="A11" s="66" t="s">
        <v>59</v>
      </c>
      <c r="B11" s="79">
        <f>0</f>
        <v>0</v>
      </c>
    </row>
    <row r="12" spans="1:5" x14ac:dyDescent="0.3">
      <c r="A12" s="66" t="s">
        <v>60</v>
      </c>
      <c r="B12" s="79">
        <f>E4-SUM(B7:B11)</f>
        <v>-2275</v>
      </c>
    </row>
    <row r="13" spans="1:5" x14ac:dyDescent="0.3">
      <c r="A13" s="62" t="s">
        <v>61</v>
      </c>
    </row>
    <row r="14" spans="1:5" x14ac:dyDescent="0.3">
      <c r="A14" t="s">
        <v>62</v>
      </c>
    </row>
    <row r="15" spans="1:5" x14ac:dyDescent="0.3">
      <c r="A15" t="s">
        <v>63</v>
      </c>
    </row>
    <row r="16" spans="1:5" x14ac:dyDescent="0.3">
      <c r="A16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6A6A"/>
  </sheetPr>
  <dimension ref="A1:E19"/>
  <sheetViews>
    <sheetView workbookViewId="0">
      <pane ySplit="1" topLeftCell="A2" activePane="bottomLeft" state="frozen"/>
      <selection pane="bottomLeft" activeCell="C25" sqref="C25"/>
    </sheetView>
  </sheetViews>
  <sheetFormatPr defaultRowHeight="14.4" x14ac:dyDescent="0.3"/>
  <cols>
    <col min="1" max="1" width="8" customWidth="1"/>
    <col min="2" max="2" width="34" customWidth="1"/>
    <col min="3" max="5" width="14" customWidth="1"/>
  </cols>
  <sheetData>
    <row r="1" spans="1:5" x14ac:dyDescent="0.3">
      <c r="A1" s="80" t="s">
        <v>65</v>
      </c>
      <c r="B1" s="80" t="s">
        <v>66</v>
      </c>
      <c r="C1" s="80" t="s">
        <v>67</v>
      </c>
      <c r="D1" s="80" t="s">
        <v>68</v>
      </c>
      <c r="E1" s="10" t="s">
        <v>69</v>
      </c>
    </row>
    <row r="2" spans="1:5" x14ac:dyDescent="0.3">
      <c r="A2" s="8">
        <v>1</v>
      </c>
      <c r="B2" s="8" t="s">
        <v>70</v>
      </c>
      <c r="C2" s="11">
        <v>46013</v>
      </c>
      <c r="D2" s="11">
        <v>46047</v>
      </c>
      <c r="E2" s="11">
        <v>46048</v>
      </c>
    </row>
    <row r="3" spans="1:5" x14ac:dyDescent="0.3">
      <c r="A3" s="8">
        <v>2</v>
      </c>
      <c r="B3" s="8" t="s">
        <v>71</v>
      </c>
      <c r="C3" s="11">
        <v>46048</v>
      </c>
      <c r="D3" s="11">
        <v>46078</v>
      </c>
      <c r="E3" s="11">
        <v>46079</v>
      </c>
    </row>
    <row r="4" spans="1:5" x14ac:dyDescent="0.3">
      <c r="A4" s="8">
        <v>3</v>
      </c>
      <c r="B4" s="8" t="s">
        <v>72</v>
      </c>
      <c r="C4" s="11">
        <v>46079</v>
      </c>
      <c r="D4" s="11">
        <v>46106</v>
      </c>
      <c r="E4" s="11">
        <v>46107</v>
      </c>
    </row>
    <row r="5" spans="1:5" x14ac:dyDescent="0.3">
      <c r="A5" s="8">
        <v>4</v>
      </c>
      <c r="B5" s="8" t="s">
        <v>73</v>
      </c>
      <c r="C5" s="11">
        <v>46107</v>
      </c>
      <c r="D5" s="11">
        <v>46137</v>
      </c>
      <c r="E5" s="11">
        <v>46138</v>
      </c>
    </row>
    <row r="6" spans="1:5" x14ac:dyDescent="0.3">
      <c r="A6" s="8">
        <v>5</v>
      </c>
      <c r="B6" s="8" t="s">
        <v>74</v>
      </c>
      <c r="C6" s="11">
        <v>46138</v>
      </c>
      <c r="D6" s="11">
        <v>46167</v>
      </c>
      <c r="E6" s="11">
        <v>46168</v>
      </c>
    </row>
    <row r="7" spans="1:5" x14ac:dyDescent="0.3">
      <c r="A7" s="8">
        <v>6</v>
      </c>
      <c r="B7" s="8" t="s">
        <v>75</v>
      </c>
      <c r="C7" s="11">
        <v>46168</v>
      </c>
      <c r="D7" s="11">
        <v>46198</v>
      </c>
      <c r="E7" s="11">
        <v>46199</v>
      </c>
    </row>
    <row r="8" spans="1:5" x14ac:dyDescent="0.3">
      <c r="A8" s="8">
        <v>7</v>
      </c>
      <c r="B8" s="8" t="s">
        <v>76</v>
      </c>
      <c r="C8" s="11">
        <v>46199</v>
      </c>
      <c r="D8" s="11">
        <v>46228</v>
      </c>
      <c r="E8" s="11">
        <v>46229</v>
      </c>
    </row>
    <row r="9" spans="1:5" x14ac:dyDescent="0.3">
      <c r="A9" s="8">
        <v>8</v>
      </c>
      <c r="B9" s="8" t="s">
        <v>77</v>
      </c>
      <c r="C9" s="11">
        <v>46229</v>
      </c>
      <c r="D9" s="11">
        <v>46259</v>
      </c>
      <c r="E9" s="11">
        <v>46260</v>
      </c>
    </row>
    <row r="10" spans="1:5" x14ac:dyDescent="0.3">
      <c r="A10" s="8">
        <v>9</v>
      </c>
      <c r="B10" s="8" t="s">
        <v>78</v>
      </c>
      <c r="C10" s="11">
        <v>46260</v>
      </c>
      <c r="D10" s="11">
        <v>46290</v>
      </c>
      <c r="E10" s="11">
        <v>46291</v>
      </c>
    </row>
    <row r="11" spans="1:5" x14ac:dyDescent="0.3">
      <c r="A11" s="8">
        <v>10</v>
      </c>
      <c r="B11" s="8" t="s">
        <v>79</v>
      </c>
      <c r="C11" s="11">
        <v>46291</v>
      </c>
      <c r="D11" s="11">
        <v>46320</v>
      </c>
      <c r="E11" s="11">
        <v>46321</v>
      </c>
    </row>
    <row r="12" spans="1:5" x14ac:dyDescent="0.3">
      <c r="A12" s="8">
        <v>11</v>
      </c>
      <c r="B12" s="8" t="s">
        <v>80</v>
      </c>
      <c r="C12" s="11">
        <v>46321</v>
      </c>
      <c r="D12" s="11">
        <v>46351</v>
      </c>
      <c r="E12" s="11">
        <v>46352</v>
      </c>
    </row>
    <row r="13" spans="1:5" x14ac:dyDescent="0.3">
      <c r="A13" s="8">
        <v>12</v>
      </c>
      <c r="B13" s="8" t="s">
        <v>81</v>
      </c>
      <c r="C13" s="11">
        <v>46352</v>
      </c>
      <c r="D13" s="11">
        <v>46381</v>
      </c>
      <c r="E13" s="11">
        <v>46382</v>
      </c>
    </row>
    <row r="14" spans="1:5" x14ac:dyDescent="0.3">
      <c r="A14" s="83"/>
    </row>
    <row r="15" spans="1:5" x14ac:dyDescent="0.3">
      <c r="A15" s="83"/>
    </row>
    <row r="16" spans="1:5" x14ac:dyDescent="0.3">
      <c r="A16" s="83"/>
    </row>
    <row r="17" spans="1:1" x14ac:dyDescent="0.3">
      <c r="A17" s="83"/>
    </row>
    <row r="18" spans="1:1" x14ac:dyDescent="0.3">
      <c r="A18" s="83"/>
    </row>
    <row r="19" spans="1:1" x14ac:dyDescent="0.3">
      <c r="A19" s="8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H97"/>
  <sheetViews>
    <sheetView workbookViewId="0">
      <pane ySplit="2" topLeftCell="A26" activePane="bottomLeft" state="frozen"/>
      <selection pane="bottomLeft" activeCell="C43" sqref="C43"/>
    </sheetView>
  </sheetViews>
  <sheetFormatPr defaultRowHeight="14.4" x14ac:dyDescent="0.3"/>
  <cols>
    <col min="1" max="1" width="14" customWidth="1"/>
    <col min="2" max="3" width="18" customWidth="1"/>
    <col min="4" max="4" width="10" customWidth="1"/>
    <col min="5" max="5" width="26" customWidth="1"/>
    <col min="8" max="8" width="11.21875" bestFit="1" customWidth="1"/>
  </cols>
  <sheetData>
    <row r="1" spans="1:8" ht="18" customHeight="1" x14ac:dyDescent="0.35">
      <c r="A1" s="12" t="s">
        <v>82</v>
      </c>
      <c r="G1" s="28" t="s">
        <v>83</v>
      </c>
      <c r="H1" s="28" t="s">
        <v>84</v>
      </c>
    </row>
    <row r="2" spans="1:8" x14ac:dyDescent="0.3">
      <c r="A2" s="6" t="s">
        <v>85</v>
      </c>
      <c r="B2" s="6" t="s">
        <v>86</v>
      </c>
      <c r="C2" s="6" t="s">
        <v>87</v>
      </c>
      <c r="D2" s="6" t="s">
        <v>65</v>
      </c>
      <c r="E2" s="6" t="s">
        <v>61</v>
      </c>
    </row>
    <row r="3" spans="1:8" x14ac:dyDescent="0.3">
      <c r="A3" s="5">
        <v>46013</v>
      </c>
      <c r="B3" t="s">
        <v>88</v>
      </c>
      <c r="C3" s="4">
        <f>Setup!$B$4</f>
        <v>3500</v>
      </c>
      <c r="D3">
        <f>MATCH(A3,'Periods 26-25'!$C$2:$C$13,1)</f>
        <v>1</v>
      </c>
      <c r="E3" t="s">
        <v>89</v>
      </c>
      <c r="G3" t="b">
        <f>AND($A3&gt;='Upcoming Income'!$B$4,$A3&lt;='Upcoming Income'!$B$4+'Upcoming Income'!$E$4)</f>
        <v>0</v>
      </c>
    </row>
    <row r="4" spans="1:8" x14ac:dyDescent="0.3">
      <c r="A4" s="5">
        <v>46048</v>
      </c>
      <c r="B4" t="s">
        <v>90</v>
      </c>
      <c r="C4" s="4">
        <f>Setup!$B$4</f>
        <v>3500</v>
      </c>
      <c r="D4">
        <f>MATCH(A3,'Periods 26-25'!$C$2:$C$13,1)</f>
        <v>1</v>
      </c>
      <c r="E4" t="s">
        <v>91</v>
      </c>
      <c r="G4" t="b">
        <f>AND($A3&gt;='Upcoming Income'!$B$4,$A3&lt;='Upcoming Income'!$B$4+'Upcoming Income'!$E$4)</f>
        <v>0</v>
      </c>
      <c r="H4" s="5" t="str">
        <f t="shared" ref="H4:H35" si="0">IF($G3,$A3+ROW()/100000,"")</f>
        <v/>
      </c>
    </row>
    <row r="5" spans="1:8" x14ac:dyDescent="0.3">
      <c r="A5" s="5">
        <v>46079</v>
      </c>
      <c r="B5" t="s">
        <v>90</v>
      </c>
      <c r="C5" s="4">
        <f>Setup!$B$4</f>
        <v>3500</v>
      </c>
      <c r="D5">
        <f>MATCH(A4,'Periods 26-25'!$C$2:$C$13,1)</f>
        <v>2</v>
      </c>
      <c r="E5" t="s">
        <v>91</v>
      </c>
      <c r="G5" t="b">
        <f>AND($A4&gt;='Upcoming Income'!$B$4,$A4&lt;='Upcoming Income'!$B$4+'Upcoming Income'!$E$4)</f>
        <v>1</v>
      </c>
      <c r="H5" s="5" t="str">
        <f t="shared" si="0"/>
        <v/>
      </c>
    </row>
    <row r="6" spans="1:8" x14ac:dyDescent="0.3">
      <c r="A6" s="5">
        <v>46107</v>
      </c>
      <c r="B6" t="s">
        <v>90</v>
      </c>
      <c r="C6" s="4">
        <f>Setup!$B$4</f>
        <v>3500</v>
      </c>
      <c r="D6">
        <f>MATCH(A5,'Periods 26-25'!$C$2:$C$13,1)</f>
        <v>3</v>
      </c>
      <c r="E6" t="s">
        <v>91</v>
      </c>
      <c r="G6" t="b">
        <f>AND($A5&gt;='Upcoming Income'!$B$4,$A5&lt;='Upcoming Income'!$B$4+'Upcoming Income'!$E$4)</f>
        <v>0</v>
      </c>
      <c r="H6" s="5">
        <f t="shared" si="0"/>
        <v>46079.000059999998</v>
      </c>
    </row>
    <row r="7" spans="1:8" x14ac:dyDescent="0.3">
      <c r="A7" s="5">
        <v>46138</v>
      </c>
      <c r="B7" t="s">
        <v>90</v>
      </c>
      <c r="C7" s="4">
        <f>Setup!$B$4</f>
        <v>3500</v>
      </c>
      <c r="D7">
        <f>MATCH(A6,'Periods 26-25'!$C$2:$C$13,1)</f>
        <v>4</v>
      </c>
      <c r="E7" t="s">
        <v>91</v>
      </c>
      <c r="G7" t="b">
        <f>AND($A6&gt;='Upcoming Income'!$B$4,$A6&lt;='Upcoming Income'!$B$4+'Upcoming Income'!$E$4)</f>
        <v>0</v>
      </c>
      <c r="H7" s="5" t="str">
        <f t="shared" si="0"/>
        <v/>
      </c>
    </row>
    <row r="8" spans="1:8" x14ac:dyDescent="0.3">
      <c r="A8" s="5">
        <v>46168</v>
      </c>
      <c r="B8" t="s">
        <v>90</v>
      </c>
      <c r="C8" s="4">
        <f>Setup!$B$4</f>
        <v>3500</v>
      </c>
      <c r="D8">
        <f>MATCH(A7,'Periods 26-25'!$C$2:$C$13,1)</f>
        <v>5</v>
      </c>
      <c r="E8" t="s">
        <v>91</v>
      </c>
      <c r="G8" t="b">
        <f>AND($A7&gt;='Upcoming Income'!$B$4,$A7&lt;='Upcoming Income'!$B$4+'Upcoming Income'!$E$4)</f>
        <v>0</v>
      </c>
      <c r="H8" s="5" t="str">
        <f t="shared" si="0"/>
        <v/>
      </c>
    </row>
    <row r="9" spans="1:8" x14ac:dyDescent="0.3">
      <c r="A9" s="5">
        <v>46199</v>
      </c>
      <c r="B9" t="s">
        <v>90</v>
      </c>
      <c r="C9" s="4">
        <f>Setup!$B$4</f>
        <v>3500</v>
      </c>
      <c r="D9">
        <f>MATCH(A8,'Periods 26-25'!$C$2:$C$13,1)</f>
        <v>6</v>
      </c>
      <c r="E9" t="s">
        <v>91</v>
      </c>
      <c r="G9" t="b">
        <f>AND($A8&gt;='Upcoming Income'!$B$4,$A8&lt;='Upcoming Income'!$B$4+'Upcoming Income'!$E$4)</f>
        <v>0</v>
      </c>
      <c r="H9" s="5" t="str">
        <f t="shared" si="0"/>
        <v/>
      </c>
    </row>
    <row r="10" spans="1:8" x14ac:dyDescent="0.3">
      <c r="A10" s="5">
        <v>46229</v>
      </c>
      <c r="B10" t="s">
        <v>90</v>
      </c>
      <c r="C10" s="4">
        <f>Setup!$B$4</f>
        <v>3500</v>
      </c>
      <c r="D10">
        <f>MATCH(A9,'Periods 26-25'!$C$2:$C$13,1)</f>
        <v>7</v>
      </c>
      <c r="E10" t="s">
        <v>91</v>
      </c>
      <c r="G10" t="b">
        <f>AND($A9&gt;='Upcoming Income'!$B$4,$A9&lt;='Upcoming Income'!$B$4+'Upcoming Income'!$E$4)</f>
        <v>0</v>
      </c>
      <c r="H10" s="5" t="str">
        <f t="shared" si="0"/>
        <v/>
      </c>
    </row>
    <row r="11" spans="1:8" x14ac:dyDescent="0.3">
      <c r="A11" s="5">
        <v>46260</v>
      </c>
      <c r="B11" t="s">
        <v>90</v>
      </c>
      <c r="C11" s="4">
        <f>Setup!$B$4</f>
        <v>3500</v>
      </c>
      <c r="D11">
        <f>MATCH(A10,'Periods 26-25'!$C$2:$C$13,1)</f>
        <v>8</v>
      </c>
      <c r="E11" t="s">
        <v>91</v>
      </c>
      <c r="G11" t="b">
        <f>AND($A10&gt;='Upcoming Income'!$B$4,$A10&lt;='Upcoming Income'!$B$4+'Upcoming Income'!$E$4)</f>
        <v>0</v>
      </c>
      <c r="H11" s="5" t="str">
        <f t="shared" si="0"/>
        <v/>
      </c>
    </row>
    <row r="12" spans="1:8" x14ac:dyDescent="0.3">
      <c r="A12" s="5">
        <v>46291</v>
      </c>
      <c r="B12" t="s">
        <v>90</v>
      </c>
      <c r="C12" s="4">
        <f>Setup!$B$4</f>
        <v>3500</v>
      </c>
      <c r="D12">
        <f>MATCH(A11,'Periods 26-25'!$C$2:$C$13,1)</f>
        <v>9</v>
      </c>
      <c r="E12" t="s">
        <v>91</v>
      </c>
      <c r="G12" t="b">
        <f>AND($A11&gt;='Upcoming Income'!$B$4,$A11&lt;='Upcoming Income'!$B$4+'Upcoming Income'!$E$4)</f>
        <v>0</v>
      </c>
      <c r="H12" s="5" t="str">
        <f t="shared" si="0"/>
        <v/>
      </c>
    </row>
    <row r="13" spans="1:8" x14ac:dyDescent="0.3">
      <c r="A13" s="5">
        <v>46321</v>
      </c>
      <c r="B13" t="s">
        <v>90</v>
      </c>
      <c r="C13" s="4">
        <f>Setup!$B$4</f>
        <v>3500</v>
      </c>
      <c r="D13">
        <f>MATCH(A12,'Periods 26-25'!$C$2:$C$13,1)</f>
        <v>10</v>
      </c>
      <c r="E13" t="s">
        <v>91</v>
      </c>
      <c r="G13" t="b">
        <f>AND($A12&gt;='Upcoming Income'!$B$4,$A12&lt;='Upcoming Income'!$B$4+'Upcoming Income'!$E$4)</f>
        <v>0</v>
      </c>
      <c r="H13" s="5" t="str">
        <f t="shared" si="0"/>
        <v/>
      </c>
    </row>
    <row r="14" spans="1:8" x14ac:dyDescent="0.3">
      <c r="A14" s="5">
        <v>46352</v>
      </c>
      <c r="B14" t="s">
        <v>90</v>
      </c>
      <c r="C14" s="4">
        <f>Setup!$B$4</f>
        <v>3500</v>
      </c>
      <c r="D14">
        <f>MATCH(A13,'Periods 26-25'!$C$2:$C$13,1)</f>
        <v>11</v>
      </c>
      <c r="E14" t="s">
        <v>91</v>
      </c>
      <c r="G14" t="b">
        <f>AND($A13&gt;='Upcoming Income'!$B$4,$A13&lt;='Upcoming Income'!$B$4+'Upcoming Income'!$E$4)</f>
        <v>0</v>
      </c>
      <c r="H14" s="5" t="str">
        <f t="shared" si="0"/>
        <v/>
      </c>
    </row>
    <row r="15" spans="1:8" x14ac:dyDescent="0.3">
      <c r="A15" s="5">
        <v>46382</v>
      </c>
      <c r="B15" t="s">
        <v>90</v>
      </c>
      <c r="C15" s="4">
        <f>Setup!$B$4</f>
        <v>3500</v>
      </c>
      <c r="D15">
        <f>MATCH(A14,'Periods 26-25'!$C$2:$C$13,1)</f>
        <v>12</v>
      </c>
      <c r="E15" t="s">
        <v>91</v>
      </c>
      <c r="G15" t="b">
        <f>AND($A14&gt;='Upcoming Income'!$B$4,$A14&lt;='Upcoming Income'!$B$4+'Upcoming Income'!$E$4)</f>
        <v>0</v>
      </c>
      <c r="H15" s="5" t="str">
        <f t="shared" si="0"/>
        <v/>
      </c>
    </row>
    <row r="16" spans="1:8" x14ac:dyDescent="0.3">
      <c r="A16" s="5">
        <v>46023</v>
      </c>
      <c r="B16" t="s">
        <v>92</v>
      </c>
      <c r="C16" s="4">
        <f>Setup!$B$5</f>
        <v>400</v>
      </c>
      <c r="D16">
        <f>MATCH(A15,'Periods 26-25'!$C$2:$C$13,1)</f>
        <v>12</v>
      </c>
      <c r="E16" t="s">
        <v>93</v>
      </c>
      <c r="G16" t="b">
        <f>AND($A15&gt;='Upcoming Income'!$B$4,$A15&lt;='Upcoming Income'!$B$4+'Upcoming Income'!$E$4)</f>
        <v>0</v>
      </c>
      <c r="H16" s="5" t="str">
        <f t="shared" si="0"/>
        <v/>
      </c>
    </row>
    <row r="17" spans="1:8" x14ac:dyDescent="0.3">
      <c r="A17" s="5">
        <v>46037</v>
      </c>
      <c r="B17" t="s">
        <v>92</v>
      </c>
      <c r="C17" s="4">
        <f>Setup!$B$5</f>
        <v>400</v>
      </c>
      <c r="D17">
        <f>MATCH(A16,'Periods 26-25'!$C$2:$C$13,1)</f>
        <v>1</v>
      </c>
      <c r="E17" t="s">
        <v>93</v>
      </c>
      <c r="G17" t="b">
        <f>AND($A16&gt;='Upcoming Income'!$B$4,$A16&lt;='Upcoming Income'!$B$4+'Upcoming Income'!$E$4)</f>
        <v>1</v>
      </c>
      <c r="H17" s="5" t="str">
        <f t="shared" si="0"/>
        <v/>
      </c>
    </row>
    <row r="18" spans="1:8" x14ac:dyDescent="0.3">
      <c r="A18" s="5">
        <v>46051</v>
      </c>
      <c r="B18" t="s">
        <v>92</v>
      </c>
      <c r="C18" s="4">
        <f>Setup!$B$5</f>
        <v>400</v>
      </c>
      <c r="D18">
        <f>MATCH(A17,'Periods 26-25'!$C$2:$C$13,1)</f>
        <v>1</v>
      </c>
      <c r="E18" t="s">
        <v>93</v>
      </c>
      <c r="G18" t="b">
        <f>AND($A17&gt;='Upcoming Income'!$B$4,$A17&lt;='Upcoming Income'!$B$4+'Upcoming Income'!$E$4)</f>
        <v>1</v>
      </c>
      <c r="H18" s="5">
        <f t="shared" si="0"/>
        <v>46037.000180000003</v>
      </c>
    </row>
    <row r="19" spans="1:8" x14ac:dyDescent="0.3">
      <c r="A19" s="5">
        <v>46065</v>
      </c>
      <c r="B19" t="s">
        <v>92</v>
      </c>
      <c r="C19" s="4">
        <f>Setup!$B$5</f>
        <v>400</v>
      </c>
      <c r="D19">
        <f>MATCH(A18,'Periods 26-25'!$C$2:$C$13,1)</f>
        <v>2</v>
      </c>
      <c r="E19" t="s">
        <v>93</v>
      </c>
      <c r="G19" t="b">
        <f>AND($A18&gt;='Upcoming Income'!$B$4,$A18&lt;='Upcoming Income'!$B$4+'Upcoming Income'!$E$4)</f>
        <v>0</v>
      </c>
      <c r="H19" s="5">
        <f t="shared" si="0"/>
        <v>46051.000189999999</v>
      </c>
    </row>
    <row r="20" spans="1:8" x14ac:dyDescent="0.3">
      <c r="A20" s="5">
        <v>46079</v>
      </c>
      <c r="B20" t="s">
        <v>92</v>
      </c>
      <c r="C20" s="4">
        <f>Setup!$B$5</f>
        <v>400</v>
      </c>
      <c r="D20">
        <f>MATCH(A19,'Periods 26-25'!$C$2:$C$13,1)</f>
        <v>2</v>
      </c>
      <c r="E20" t="s">
        <v>93</v>
      </c>
      <c r="G20" t="b">
        <f>AND($A19&gt;='Upcoming Income'!$B$4,$A19&lt;='Upcoming Income'!$B$4+'Upcoming Income'!$E$4)</f>
        <v>0</v>
      </c>
      <c r="H20" s="5" t="str">
        <f t="shared" si="0"/>
        <v/>
      </c>
    </row>
    <row r="21" spans="1:8" x14ac:dyDescent="0.3">
      <c r="A21" s="5">
        <v>46093</v>
      </c>
      <c r="B21" t="s">
        <v>92</v>
      </c>
      <c r="C21" s="4">
        <f>Setup!$B$5</f>
        <v>400</v>
      </c>
      <c r="D21">
        <f>MATCH(A20,'Periods 26-25'!$C$2:$C$13,1)</f>
        <v>3</v>
      </c>
      <c r="E21" t="s">
        <v>93</v>
      </c>
      <c r="G21" t="b">
        <f>AND($A20&gt;='Upcoming Income'!$B$4,$A20&lt;='Upcoming Income'!$B$4+'Upcoming Income'!$E$4)</f>
        <v>0</v>
      </c>
      <c r="H21" s="5" t="str">
        <f t="shared" si="0"/>
        <v/>
      </c>
    </row>
    <row r="22" spans="1:8" x14ac:dyDescent="0.3">
      <c r="A22" s="5">
        <v>46107</v>
      </c>
      <c r="B22" t="s">
        <v>92</v>
      </c>
      <c r="C22" s="4">
        <f>Setup!$B$5</f>
        <v>400</v>
      </c>
      <c r="D22">
        <f>MATCH(A21,'Periods 26-25'!$C$2:$C$13,1)</f>
        <v>3</v>
      </c>
      <c r="E22" t="s">
        <v>93</v>
      </c>
      <c r="G22" t="b">
        <f>AND($A21&gt;='Upcoming Income'!$B$4,$A21&lt;='Upcoming Income'!$B$4+'Upcoming Income'!$E$4)</f>
        <v>0</v>
      </c>
      <c r="H22" s="5" t="str">
        <f t="shared" si="0"/>
        <v/>
      </c>
    </row>
    <row r="23" spans="1:8" x14ac:dyDescent="0.3">
      <c r="A23" s="5">
        <v>46121</v>
      </c>
      <c r="B23" t="s">
        <v>92</v>
      </c>
      <c r="C23" s="4">
        <f>Setup!$B$5</f>
        <v>400</v>
      </c>
      <c r="D23">
        <f>MATCH(A22,'Periods 26-25'!$C$2:$C$13,1)</f>
        <v>4</v>
      </c>
      <c r="E23" t="s">
        <v>93</v>
      </c>
      <c r="G23" t="b">
        <f>AND($A22&gt;='Upcoming Income'!$B$4,$A22&lt;='Upcoming Income'!$B$4+'Upcoming Income'!$E$4)</f>
        <v>0</v>
      </c>
      <c r="H23" s="5" t="str">
        <f t="shared" si="0"/>
        <v/>
      </c>
    </row>
    <row r="24" spans="1:8" x14ac:dyDescent="0.3">
      <c r="A24" s="5">
        <v>46135</v>
      </c>
      <c r="B24" t="s">
        <v>92</v>
      </c>
      <c r="C24" s="4">
        <f>Setup!$B$5</f>
        <v>400</v>
      </c>
      <c r="D24">
        <f>MATCH(A23,'Periods 26-25'!$C$2:$C$13,1)</f>
        <v>4</v>
      </c>
      <c r="E24" t="s">
        <v>93</v>
      </c>
      <c r="G24" t="b">
        <f>AND($A23&gt;='Upcoming Income'!$B$4,$A23&lt;='Upcoming Income'!$B$4+'Upcoming Income'!$E$4)</f>
        <v>0</v>
      </c>
      <c r="H24" s="5" t="str">
        <f t="shared" si="0"/>
        <v/>
      </c>
    </row>
    <row r="25" spans="1:8" x14ac:dyDescent="0.3">
      <c r="A25" s="5">
        <v>46149</v>
      </c>
      <c r="B25" t="s">
        <v>92</v>
      </c>
      <c r="C25" s="4">
        <f>Setup!$B$5</f>
        <v>400</v>
      </c>
      <c r="D25">
        <f>MATCH(A24,'Periods 26-25'!$C$2:$C$13,1)</f>
        <v>4</v>
      </c>
      <c r="E25" t="s">
        <v>93</v>
      </c>
      <c r="G25" t="b">
        <f>AND($A24&gt;='Upcoming Income'!$B$4,$A24&lt;='Upcoming Income'!$B$4+'Upcoming Income'!$E$4)</f>
        <v>0</v>
      </c>
      <c r="H25" s="5" t="str">
        <f t="shared" si="0"/>
        <v/>
      </c>
    </row>
    <row r="26" spans="1:8" x14ac:dyDescent="0.3">
      <c r="A26" s="5">
        <v>46163</v>
      </c>
      <c r="B26" t="s">
        <v>92</v>
      </c>
      <c r="C26" s="4">
        <f>Setup!$B$5</f>
        <v>400</v>
      </c>
      <c r="D26">
        <f>MATCH(A25,'Periods 26-25'!$C$2:$C$13,1)</f>
        <v>5</v>
      </c>
      <c r="E26" t="s">
        <v>93</v>
      </c>
      <c r="G26" t="b">
        <f>AND($A25&gt;='Upcoming Income'!$B$4,$A25&lt;='Upcoming Income'!$B$4+'Upcoming Income'!$E$4)</f>
        <v>0</v>
      </c>
      <c r="H26" s="5" t="str">
        <f t="shared" si="0"/>
        <v/>
      </c>
    </row>
    <row r="27" spans="1:8" x14ac:dyDescent="0.3">
      <c r="A27" s="5">
        <v>46177</v>
      </c>
      <c r="B27" t="s">
        <v>92</v>
      </c>
      <c r="C27" s="4">
        <f>Setup!$B$5</f>
        <v>400</v>
      </c>
      <c r="D27">
        <f>MATCH(A26,'Periods 26-25'!$C$2:$C$13,1)</f>
        <v>5</v>
      </c>
      <c r="E27" t="s">
        <v>93</v>
      </c>
      <c r="G27" t="b">
        <f>AND($A26&gt;='Upcoming Income'!$B$4,$A26&lt;='Upcoming Income'!$B$4+'Upcoming Income'!$E$4)</f>
        <v>0</v>
      </c>
      <c r="H27" s="5" t="str">
        <f t="shared" si="0"/>
        <v/>
      </c>
    </row>
    <row r="28" spans="1:8" x14ac:dyDescent="0.3">
      <c r="A28" s="5">
        <v>46191</v>
      </c>
      <c r="B28" t="s">
        <v>92</v>
      </c>
      <c r="C28" s="4">
        <f>Setup!$B$5</f>
        <v>400</v>
      </c>
      <c r="D28">
        <f>MATCH(A27,'Periods 26-25'!$C$2:$C$13,1)</f>
        <v>6</v>
      </c>
      <c r="E28" t="s">
        <v>93</v>
      </c>
      <c r="G28" t="b">
        <f>AND($A27&gt;='Upcoming Income'!$B$4,$A27&lt;='Upcoming Income'!$B$4+'Upcoming Income'!$E$4)</f>
        <v>0</v>
      </c>
      <c r="H28" s="5" t="str">
        <f t="shared" si="0"/>
        <v/>
      </c>
    </row>
    <row r="29" spans="1:8" x14ac:dyDescent="0.3">
      <c r="A29" s="5">
        <v>46205</v>
      </c>
      <c r="B29" t="s">
        <v>92</v>
      </c>
      <c r="C29" s="4">
        <f>Setup!$B$5</f>
        <v>400</v>
      </c>
      <c r="D29">
        <f>MATCH(A28,'Periods 26-25'!$C$2:$C$13,1)</f>
        <v>6</v>
      </c>
      <c r="E29" t="s">
        <v>93</v>
      </c>
      <c r="G29" t="b">
        <f>AND($A28&gt;='Upcoming Income'!$B$4,$A28&lt;='Upcoming Income'!$B$4+'Upcoming Income'!$E$4)</f>
        <v>0</v>
      </c>
      <c r="H29" s="5" t="str">
        <f t="shared" si="0"/>
        <v/>
      </c>
    </row>
    <row r="30" spans="1:8" x14ac:dyDescent="0.3">
      <c r="A30" s="5">
        <v>46219</v>
      </c>
      <c r="B30" t="s">
        <v>92</v>
      </c>
      <c r="C30" s="4">
        <f>Setup!$B$5</f>
        <v>400</v>
      </c>
      <c r="D30">
        <f>MATCH(A29,'Periods 26-25'!$C$2:$C$13,1)</f>
        <v>7</v>
      </c>
      <c r="E30" t="s">
        <v>93</v>
      </c>
      <c r="G30" t="b">
        <f>AND($A29&gt;='Upcoming Income'!$B$4,$A29&lt;='Upcoming Income'!$B$4+'Upcoming Income'!$E$4)</f>
        <v>0</v>
      </c>
      <c r="H30" s="5" t="str">
        <f t="shared" si="0"/>
        <v/>
      </c>
    </row>
    <row r="31" spans="1:8" x14ac:dyDescent="0.3">
      <c r="A31" s="5">
        <v>46233</v>
      </c>
      <c r="B31" t="s">
        <v>92</v>
      </c>
      <c r="C31" s="4">
        <f>Setup!$B$5</f>
        <v>400</v>
      </c>
      <c r="D31">
        <f>MATCH(A30,'Periods 26-25'!$C$2:$C$13,1)</f>
        <v>7</v>
      </c>
      <c r="E31" t="s">
        <v>93</v>
      </c>
      <c r="G31" t="b">
        <f>AND($A30&gt;='Upcoming Income'!$B$4,$A30&lt;='Upcoming Income'!$B$4+'Upcoming Income'!$E$4)</f>
        <v>0</v>
      </c>
      <c r="H31" s="5" t="str">
        <f t="shared" si="0"/>
        <v/>
      </c>
    </row>
    <row r="32" spans="1:8" x14ac:dyDescent="0.3">
      <c r="A32" s="5">
        <v>46247</v>
      </c>
      <c r="B32" t="s">
        <v>92</v>
      </c>
      <c r="C32" s="4">
        <f>Setup!$B$5</f>
        <v>400</v>
      </c>
      <c r="D32">
        <f>MATCH(A31,'Periods 26-25'!$C$2:$C$13,1)</f>
        <v>8</v>
      </c>
      <c r="E32" t="s">
        <v>93</v>
      </c>
      <c r="G32" t="b">
        <f>AND($A31&gt;='Upcoming Income'!$B$4,$A31&lt;='Upcoming Income'!$B$4+'Upcoming Income'!$E$4)</f>
        <v>0</v>
      </c>
      <c r="H32" s="5" t="str">
        <f t="shared" si="0"/>
        <v/>
      </c>
    </row>
    <row r="33" spans="1:8" x14ac:dyDescent="0.3">
      <c r="A33" s="5">
        <v>46261</v>
      </c>
      <c r="B33" t="s">
        <v>92</v>
      </c>
      <c r="C33" s="4">
        <f>Setup!$B$5</f>
        <v>400</v>
      </c>
      <c r="D33">
        <f>MATCH(A32,'Periods 26-25'!$C$2:$C$13,1)</f>
        <v>8</v>
      </c>
      <c r="E33" t="s">
        <v>93</v>
      </c>
      <c r="G33" t="b">
        <f>AND($A32&gt;='Upcoming Income'!$B$4,$A32&lt;='Upcoming Income'!$B$4+'Upcoming Income'!$E$4)</f>
        <v>0</v>
      </c>
      <c r="H33" s="5" t="str">
        <f t="shared" si="0"/>
        <v/>
      </c>
    </row>
    <row r="34" spans="1:8" x14ac:dyDescent="0.3">
      <c r="A34" s="5">
        <v>46275</v>
      </c>
      <c r="B34" t="s">
        <v>92</v>
      </c>
      <c r="C34" s="4">
        <f>Setup!$B$5</f>
        <v>400</v>
      </c>
      <c r="D34">
        <f>MATCH(A33,'Periods 26-25'!$C$2:$C$13,1)</f>
        <v>9</v>
      </c>
      <c r="E34" t="s">
        <v>93</v>
      </c>
      <c r="G34" t="b">
        <f>AND($A33&gt;='Upcoming Income'!$B$4,$A33&lt;='Upcoming Income'!$B$4+'Upcoming Income'!$E$4)</f>
        <v>0</v>
      </c>
      <c r="H34" s="5" t="str">
        <f t="shared" si="0"/>
        <v/>
      </c>
    </row>
    <row r="35" spans="1:8" x14ac:dyDescent="0.3">
      <c r="A35" s="5">
        <v>46289</v>
      </c>
      <c r="B35" t="s">
        <v>92</v>
      </c>
      <c r="C35" s="4">
        <f>Setup!$B$5</f>
        <v>400</v>
      </c>
      <c r="D35">
        <f>MATCH(A34,'Periods 26-25'!$C$2:$C$13,1)</f>
        <v>9</v>
      </c>
      <c r="E35" t="s">
        <v>93</v>
      </c>
      <c r="G35" t="b">
        <f>AND($A34&gt;='Upcoming Income'!$B$4,$A34&lt;='Upcoming Income'!$B$4+'Upcoming Income'!$E$4)</f>
        <v>0</v>
      </c>
      <c r="H35" s="5" t="str">
        <f t="shared" si="0"/>
        <v/>
      </c>
    </row>
    <row r="36" spans="1:8" x14ac:dyDescent="0.3">
      <c r="A36" s="5">
        <v>46303</v>
      </c>
      <c r="B36" t="s">
        <v>92</v>
      </c>
      <c r="C36" s="4">
        <f>Setup!$B$5</f>
        <v>400</v>
      </c>
      <c r="D36">
        <f>MATCH(A35,'Periods 26-25'!$C$2:$C$13,1)</f>
        <v>9</v>
      </c>
      <c r="E36" t="s">
        <v>93</v>
      </c>
      <c r="G36" t="b">
        <f>AND($A35&gt;='Upcoming Income'!$B$4,$A35&lt;='Upcoming Income'!$B$4+'Upcoming Income'!$E$4)</f>
        <v>0</v>
      </c>
      <c r="H36" s="5" t="str">
        <f t="shared" ref="H36:H67" si="1">IF($G35,$A35+ROW()/100000,"")</f>
        <v/>
      </c>
    </row>
    <row r="37" spans="1:8" x14ac:dyDescent="0.3">
      <c r="A37" s="5">
        <v>46317</v>
      </c>
      <c r="B37" t="s">
        <v>92</v>
      </c>
      <c r="C37" s="4">
        <f>Setup!$B$5</f>
        <v>400</v>
      </c>
      <c r="D37">
        <f>MATCH(A36,'Periods 26-25'!$C$2:$C$13,1)</f>
        <v>10</v>
      </c>
      <c r="E37" t="s">
        <v>93</v>
      </c>
      <c r="G37" t="b">
        <f>AND($A36&gt;='Upcoming Income'!$B$4,$A36&lt;='Upcoming Income'!$B$4+'Upcoming Income'!$E$4)</f>
        <v>0</v>
      </c>
      <c r="H37" s="5" t="str">
        <f t="shared" si="1"/>
        <v/>
      </c>
    </row>
    <row r="38" spans="1:8" x14ac:dyDescent="0.3">
      <c r="A38" s="5">
        <v>46331</v>
      </c>
      <c r="B38" t="s">
        <v>92</v>
      </c>
      <c r="C38" s="4">
        <f>Setup!$B$5</f>
        <v>400</v>
      </c>
      <c r="D38">
        <f>MATCH(A37,'Periods 26-25'!$C$2:$C$13,1)</f>
        <v>10</v>
      </c>
      <c r="E38" t="s">
        <v>93</v>
      </c>
      <c r="G38" t="b">
        <f>AND($A37&gt;='Upcoming Income'!$B$4,$A37&lt;='Upcoming Income'!$B$4+'Upcoming Income'!$E$4)</f>
        <v>0</v>
      </c>
      <c r="H38" s="5" t="str">
        <f t="shared" si="1"/>
        <v/>
      </c>
    </row>
    <row r="39" spans="1:8" x14ac:dyDescent="0.3">
      <c r="A39" s="5">
        <v>46345</v>
      </c>
      <c r="B39" t="s">
        <v>92</v>
      </c>
      <c r="C39" s="4">
        <f>Setup!$B$5</f>
        <v>400</v>
      </c>
      <c r="D39">
        <f>MATCH(A38,'Periods 26-25'!$C$2:$C$13,1)</f>
        <v>11</v>
      </c>
      <c r="E39" t="s">
        <v>93</v>
      </c>
      <c r="G39" t="b">
        <f>AND($A38&gt;='Upcoming Income'!$B$4,$A38&lt;='Upcoming Income'!$B$4+'Upcoming Income'!$E$4)</f>
        <v>0</v>
      </c>
      <c r="H39" s="5" t="str">
        <f t="shared" si="1"/>
        <v/>
      </c>
    </row>
    <row r="40" spans="1:8" x14ac:dyDescent="0.3">
      <c r="A40" s="5">
        <v>46359</v>
      </c>
      <c r="B40" t="s">
        <v>92</v>
      </c>
      <c r="C40" s="4">
        <f>Setup!$B$5</f>
        <v>400</v>
      </c>
      <c r="D40">
        <f>MATCH(A39,'Periods 26-25'!$C$2:$C$13,1)</f>
        <v>11</v>
      </c>
      <c r="E40" t="s">
        <v>93</v>
      </c>
      <c r="G40" t="b">
        <f>AND($A39&gt;='Upcoming Income'!$B$4,$A39&lt;='Upcoming Income'!$B$4+'Upcoming Income'!$E$4)</f>
        <v>0</v>
      </c>
      <c r="H40" s="5" t="str">
        <f t="shared" si="1"/>
        <v/>
      </c>
    </row>
    <row r="41" spans="1:8" x14ac:dyDescent="0.3">
      <c r="A41" s="5">
        <v>46373</v>
      </c>
      <c r="B41" t="s">
        <v>92</v>
      </c>
      <c r="C41" s="4">
        <f>Setup!$B$5</f>
        <v>400</v>
      </c>
      <c r="D41">
        <f>MATCH(A40,'Periods 26-25'!$C$2:$C$13,1)</f>
        <v>12</v>
      </c>
      <c r="E41" t="s">
        <v>93</v>
      </c>
      <c r="G41" t="b">
        <f>AND($A40&gt;='Upcoming Income'!$B$4,$A40&lt;='Upcoming Income'!$B$4+'Upcoming Income'!$E$4)</f>
        <v>0</v>
      </c>
      <c r="H41" s="5" t="str">
        <f t="shared" si="1"/>
        <v/>
      </c>
    </row>
    <row r="42" spans="1:8" x14ac:dyDescent="0.3">
      <c r="A42" s="5">
        <v>46387</v>
      </c>
      <c r="B42" t="s">
        <v>92</v>
      </c>
      <c r="C42" s="4">
        <f>Setup!$B$5</f>
        <v>400</v>
      </c>
      <c r="D42">
        <f>MATCH(A41,'Periods 26-25'!$C$2:$C$13,1)</f>
        <v>12</v>
      </c>
      <c r="E42" t="s">
        <v>93</v>
      </c>
      <c r="G42" t="b">
        <f>AND($A41&gt;='Upcoming Income'!$B$4,$A41&lt;='Upcoming Income'!$B$4+'Upcoming Income'!$E$4)</f>
        <v>0</v>
      </c>
      <c r="H42" s="5" t="str">
        <f t="shared" si="1"/>
        <v/>
      </c>
    </row>
    <row r="43" spans="1:8" x14ac:dyDescent="0.3">
      <c r="A43" s="5">
        <v>46029</v>
      </c>
      <c r="B43" t="s">
        <v>94</v>
      </c>
      <c r="C43" s="4">
        <f>Setup!$B$6</f>
        <v>100</v>
      </c>
      <c r="D43">
        <f>MATCH(A42,'Periods 26-25'!$C$2:$C$13,1)</f>
        <v>12</v>
      </c>
      <c r="E43" t="s">
        <v>95</v>
      </c>
      <c r="G43" t="b">
        <f>AND($A42&gt;='Upcoming Income'!$B$4,$A42&lt;='Upcoming Income'!$B$4+'Upcoming Income'!$E$4)</f>
        <v>0</v>
      </c>
      <c r="H43" s="5" t="str">
        <f t="shared" si="1"/>
        <v/>
      </c>
    </row>
    <row r="44" spans="1:8" x14ac:dyDescent="0.3">
      <c r="A44" s="5">
        <v>46036</v>
      </c>
      <c r="B44" t="s">
        <v>94</v>
      </c>
      <c r="C44" s="4">
        <f>Setup!$B$6</f>
        <v>100</v>
      </c>
      <c r="D44">
        <f>MATCH(A43,'Periods 26-25'!$C$2:$C$13,1)</f>
        <v>1</v>
      </c>
      <c r="E44" t="s">
        <v>95</v>
      </c>
      <c r="G44" t="b">
        <f>AND($A43&gt;='Upcoming Income'!$B$4,$A43&lt;='Upcoming Income'!$B$4+'Upcoming Income'!$E$4)</f>
        <v>1</v>
      </c>
      <c r="H44" s="5" t="str">
        <f t="shared" si="1"/>
        <v/>
      </c>
    </row>
    <row r="45" spans="1:8" x14ac:dyDescent="0.3">
      <c r="A45" s="5">
        <v>46043</v>
      </c>
      <c r="B45" t="s">
        <v>94</v>
      </c>
      <c r="C45" s="4">
        <f>Setup!$B$6</f>
        <v>100</v>
      </c>
      <c r="D45">
        <f>MATCH(A44,'Periods 26-25'!$C$2:$C$13,1)</f>
        <v>1</v>
      </c>
      <c r="E45" t="s">
        <v>95</v>
      </c>
      <c r="G45" t="b">
        <f>AND($A44&gt;='Upcoming Income'!$B$4,$A44&lt;='Upcoming Income'!$B$4+'Upcoming Income'!$E$4)</f>
        <v>1</v>
      </c>
      <c r="H45" s="5">
        <f t="shared" si="1"/>
        <v>46036.00045</v>
      </c>
    </row>
    <row r="46" spans="1:8" x14ac:dyDescent="0.3">
      <c r="A46" s="5">
        <v>46050</v>
      </c>
      <c r="B46" t="s">
        <v>94</v>
      </c>
      <c r="C46" s="4">
        <f>Setup!$B$6</f>
        <v>100</v>
      </c>
      <c r="D46">
        <f>MATCH(A45,'Periods 26-25'!$C$2:$C$13,1)</f>
        <v>1</v>
      </c>
      <c r="E46" t="s">
        <v>95</v>
      </c>
      <c r="G46" t="b">
        <f>AND($A45&gt;='Upcoming Income'!$B$4,$A45&lt;='Upcoming Income'!$B$4+'Upcoming Income'!$E$4)</f>
        <v>1</v>
      </c>
      <c r="H46" s="5">
        <f t="shared" si="1"/>
        <v>46043.000460000003</v>
      </c>
    </row>
    <row r="47" spans="1:8" x14ac:dyDescent="0.3">
      <c r="A47" s="5">
        <v>46057</v>
      </c>
      <c r="B47" t="s">
        <v>94</v>
      </c>
      <c r="C47" s="4">
        <f>Setup!$B$6</f>
        <v>100</v>
      </c>
      <c r="D47">
        <f>MATCH(A46,'Periods 26-25'!$C$2:$C$13,1)</f>
        <v>2</v>
      </c>
      <c r="E47" t="s">
        <v>95</v>
      </c>
      <c r="G47" t="b">
        <f>AND($A46&gt;='Upcoming Income'!$B$4,$A46&lt;='Upcoming Income'!$B$4+'Upcoming Income'!$E$4)</f>
        <v>1</v>
      </c>
      <c r="H47" s="5">
        <f t="shared" si="1"/>
        <v>46050.000469999999</v>
      </c>
    </row>
    <row r="48" spans="1:8" x14ac:dyDescent="0.3">
      <c r="A48" s="5">
        <v>46064</v>
      </c>
      <c r="B48" t="s">
        <v>94</v>
      </c>
      <c r="C48" s="4">
        <f>Setup!$B$6</f>
        <v>100</v>
      </c>
      <c r="D48">
        <f>MATCH(A47,'Periods 26-25'!$C$2:$C$13,1)</f>
        <v>2</v>
      </c>
      <c r="E48" t="s">
        <v>95</v>
      </c>
      <c r="G48" t="b">
        <f>AND($A47&gt;='Upcoming Income'!$B$4,$A47&lt;='Upcoming Income'!$B$4+'Upcoming Income'!$E$4)</f>
        <v>0</v>
      </c>
      <c r="H48" s="5">
        <f t="shared" si="1"/>
        <v>46057.000480000002</v>
      </c>
    </row>
    <row r="49" spans="1:8" x14ac:dyDescent="0.3">
      <c r="A49" s="5">
        <v>46071</v>
      </c>
      <c r="B49" t="s">
        <v>94</v>
      </c>
      <c r="C49" s="4">
        <f>Setup!$B$6</f>
        <v>100</v>
      </c>
      <c r="D49">
        <f>MATCH(A48,'Periods 26-25'!$C$2:$C$13,1)</f>
        <v>2</v>
      </c>
      <c r="E49" t="s">
        <v>95</v>
      </c>
      <c r="G49" t="b">
        <f>AND($A48&gt;='Upcoming Income'!$B$4,$A48&lt;='Upcoming Income'!$B$4+'Upcoming Income'!$E$4)</f>
        <v>0</v>
      </c>
      <c r="H49" s="5" t="str">
        <f t="shared" si="1"/>
        <v/>
      </c>
    </row>
    <row r="50" spans="1:8" x14ac:dyDescent="0.3">
      <c r="A50" s="5">
        <v>46078</v>
      </c>
      <c r="B50" t="s">
        <v>94</v>
      </c>
      <c r="C50" s="4">
        <f>Setup!$B$6</f>
        <v>100</v>
      </c>
      <c r="D50">
        <f>MATCH(A49,'Periods 26-25'!$C$2:$C$13,1)</f>
        <v>2</v>
      </c>
      <c r="E50" t="s">
        <v>95</v>
      </c>
      <c r="G50" t="b">
        <f>AND($A49&gt;='Upcoming Income'!$B$4,$A49&lt;='Upcoming Income'!$B$4+'Upcoming Income'!$E$4)</f>
        <v>0</v>
      </c>
      <c r="H50" s="5" t="str">
        <f t="shared" si="1"/>
        <v/>
      </c>
    </row>
    <row r="51" spans="1:8" x14ac:dyDescent="0.3">
      <c r="A51" s="5">
        <v>46085</v>
      </c>
      <c r="B51" t="s">
        <v>94</v>
      </c>
      <c r="C51" s="4">
        <f>Setup!$B$6</f>
        <v>100</v>
      </c>
      <c r="D51">
        <f>MATCH(A50,'Periods 26-25'!$C$2:$C$13,1)</f>
        <v>2</v>
      </c>
      <c r="E51" t="s">
        <v>95</v>
      </c>
      <c r="G51" t="b">
        <f>AND($A50&gt;='Upcoming Income'!$B$4,$A50&lt;='Upcoming Income'!$B$4+'Upcoming Income'!$E$4)</f>
        <v>0</v>
      </c>
      <c r="H51" s="5" t="str">
        <f t="shared" si="1"/>
        <v/>
      </c>
    </row>
    <row r="52" spans="1:8" x14ac:dyDescent="0.3">
      <c r="A52" s="5">
        <v>46092</v>
      </c>
      <c r="B52" t="s">
        <v>94</v>
      </c>
      <c r="C52" s="4">
        <f>Setup!$B$6</f>
        <v>100</v>
      </c>
      <c r="D52">
        <f>MATCH(A51,'Periods 26-25'!$C$2:$C$13,1)</f>
        <v>3</v>
      </c>
      <c r="E52" t="s">
        <v>95</v>
      </c>
      <c r="G52" t="b">
        <f>AND($A51&gt;='Upcoming Income'!$B$4,$A51&lt;='Upcoming Income'!$B$4+'Upcoming Income'!$E$4)</f>
        <v>0</v>
      </c>
      <c r="H52" s="5" t="str">
        <f t="shared" si="1"/>
        <v/>
      </c>
    </row>
    <row r="53" spans="1:8" x14ac:dyDescent="0.3">
      <c r="A53" s="5">
        <v>46099</v>
      </c>
      <c r="B53" t="s">
        <v>94</v>
      </c>
      <c r="C53" s="4">
        <f>Setup!$B$6</f>
        <v>100</v>
      </c>
      <c r="D53">
        <f>MATCH(A52,'Periods 26-25'!$C$2:$C$13,1)</f>
        <v>3</v>
      </c>
      <c r="E53" t="s">
        <v>95</v>
      </c>
      <c r="G53" t="b">
        <f>AND($A52&gt;='Upcoming Income'!$B$4,$A52&lt;='Upcoming Income'!$B$4+'Upcoming Income'!$E$4)</f>
        <v>0</v>
      </c>
      <c r="H53" s="5" t="str">
        <f t="shared" si="1"/>
        <v/>
      </c>
    </row>
    <row r="54" spans="1:8" x14ac:dyDescent="0.3">
      <c r="A54" s="5">
        <v>46106</v>
      </c>
      <c r="B54" t="s">
        <v>94</v>
      </c>
      <c r="C54" s="4">
        <f>Setup!$B$6</f>
        <v>100</v>
      </c>
      <c r="D54">
        <f>MATCH(A53,'Periods 26-25'!$C$2:$C$13,1)</f>
        <v>3</v>
      </c>
      <c r="E54" t="s">
        <v>95</v>
      </c>
      <c r="G54" t="b">
        <f>AND($A53&gt;='Upcoming Income'!$B$4,$A53&lt;='Upcoming Income'!$B$4+'Upcoming Income'!$E$4)</f>
        <v>0</v>
      </c>
      <c r="H54" s="5" t="str">
        <f t="shared" si="1"/>
        <v/>
      </c>
    </row>
    <row r="55" spans="1:8" x14ac:dyDescent="0.3">
      <c r="A55" s="5">
        <v>46113</v>
      </c>
      <c r="B55" t="s">
        <v>94</v>
      </c>
      <c r="C55" s="4">
        <f>Setup!$B$6</f>
        <v>100</v>
      </c>
      <c r="D55">
        <f>MATCH(A54,'Periods 26-25'!$C$2:$C$13,1)</f>
        <v>3</v>
      </c>
      <c r="E55" t="s">
        <v>95</v>
      </c>
      <c r="G55" t="b">
        <f>AND($A54&gt;='Upcoming Income'!$B$4,$A54&lt;='Upcoming Income'!$B$4+'Upcoming Income'!$E$4)</f>
        <v>0</v>
      </c>
      <c r="H55" s="5" t="str">
        <f t="shared" si="1"/>
        <v/>
      </c>
    </row>
    <row r="56" spans="1:8" x14ac:dyDescent="0.3">
      <c r="A56" s="5">
        <v>46120</v>
      </c>
      <c r="B56" t="s">
        <v>94</v>
      </c>
      <c r="C56" s="4">
        <f>Setup!$B$6</f>
        <v>100</v>
      </c>
      <c r="D56">
        <f>MATCH(A55,'Periods 26-25'!$C$2:$C$13,1)</f>
        <v>4</v>
      </c>
      <c r="E56" t="s">
        <v>95</v>
      </c>
      <c r="G56" t="b">
        <f>AND($A55&gt;='Upcoming Income'!$B$4,$A55&lt;='Upcoming Income'!$B$4+'Upcoming Income'!$E$4)</f>
        <v>0</v>
      </c>
      <c r="H56" s="5" t="str">
        <f t="shared" si="1"/>
        <v/>
      </c>
    </row>
    <row r="57" spans="1:8" x14ac:dyDescent="0.3">
      <c r="A57" s="5">
        <v>46127</v>
      </c>
      <c r="B57" t="s">
        <v>94</v>
      </c>
      <c r="C57" s="4">
        <f>Setup!$B$6</f>
        <v>100</v>
      </c>
      <c r="D57">
        <f>MATCH(A56,'Periods 26-25'!$C$2:$C$13,1)</f>
        <v>4</v>
      </c>
      <c r="E57" t="s">
        <v>95</v>
      </c>
      <c r="G57" t="b">
        <f>AND($A56&gt;='Upcoming Income'!$B$4,$A56&lt;='Upcoming Income'!$B$4+'Upcoming Income'!$E$4)</f>
        <v>0</v>
      </c>
      <c r="H57" s="5" t="str">
        <f t="shared" si="1"/>
        <v/>
      </c>
    </row>
    <row r="58" spans="1:8" x14ac:dyDescent="0.3">
      <c r="A58" s="5">
        <v>46134</v>
      </c>
      <c r="B58" t="s">
        <v>94</v>
      </c>
      <c r="C58" s="4">
        <f>Setup!$B$6</f>
        <v>100</v>
      </c>
      <c r="D58">
        <f>MATCH(A57,'Periods 26-25'!$C$2:$C$13,1)</f>
        <v>4</v>
      </c>
      <c r="E58" t="s">
        <v>95</v>
      </c>
      <c r="G58" t="b">
        <f>AND($A57&gt;='Upcoming Income'!$B$4,$A57&lt;='Upcoming Income'!$B$4+'Upcoming Income'!$E$4)</f>
        <v>0</v>
      </c>
      <c r="H58" s="5" t="str">
        <f t="shared" si="1"/>
        <v/>
      </c>
    </row>
    <row r="59" spans="1:8" x14ac:dyDescent="0.3">
      <c r="A59" s="5">
        <v>46141</v>
      </c>
      <c r="B59" t="s">
        <v>94</v>
      </c>
      <c r="C59" s="4">
        <f>Setup!$B$6</f>
        <v>100</v>
      </c>
      <c r="D59">
        <f>MATCH(A58,'Periods 26-25'!$C$2:$C$13,1)</f>
        <v>4</v>
      </c>
      <c r="E59" t="s">
        <v>95</v>
      </c>
      <c r="G59" t="b">
        <f>AND($A58&gt;='Upcoming Income'!$B$4,$A58&lt;='Upcoming Income'!$B$4+'Upcoming Income'!$E$4)</f>
        <v>0</v>
      </c>
      <c r="H59" s="5" t="str">
        <f t="shared" si="1"/>
        <v/>
      </c>
    </row>
    <row r="60" spans="1:8" x14ac:dyDescent="0.3">
      <c r="A60" s="5">
        <v>46148</v>
      </c>
      <c r="B60" t="s">
        <v>94</v>
      </c>
      <c r="C60" s="4">
        <f>Setup!$B$6</f>
        <v>100</v>
      </c>
      <c r="D60">
        <f>MATCH(A59,'Periods 26-25'!$C$2:$C$13,1)</f>
        <v>5</v>
      </c>
      <c r="E60" t="s">
        <v>95</v>
      </c>
      <c r="G60" t="b">
        <f>AND($A59&gt;='Upcoming Income'!$B$4,$A59&lt;='Upcoming Income'!$B$4+'Upcoming Income'!$E$4)</f>
        <v>0</v>
      </c>
      <c r="H60" s="5" t="str">
        <f t="shared" si="1"/>
        <v/>
      </c>
    </row>
    <row r="61" spans="1:8" x14ac:dyDescent="0.3">
      <c r="A61" s="5">
        <v>46155</v>
      </c>
      <c r="B61" t="s">
        <v>94</v>
      </c>
      <c r="C61" s="4">
        <f>Setup!$B$6</f>
        <v>100</v>
      </c>
      <c r="D61">
        <f>MATCH(A60,'Periods 26-25'!$C$2:$C$13,1)</f>
        <v>5</v>
      </c>
      <c r="E61" t="s">
        <v>95</v>
      </c>
      <c r="G61" t="b">
        <f>AND($A60&gt;='Upcoming Income'!$B$4,$A60&lt;='Upcoming Income'!$B$4+'Upcoming Income'!$E$4)</f>
        <v>0</v>
      </c>
      <c r="H61" s="5" t="str">
        <f t="shared" si="1"/>
        <v/>
      </c>
    </row>
    <row r="62" spans="1:8" x14ac:dyDescent="0.3">
      <c r="A62" s="5">
        <v>46162</v>
      </c>
      <c r="B62" t="s">
        <v>94</v>
      </c>
      <c r="C62" s="4">
        <f>Setup!$B$6</f>
        <v>100</v>
      </c>
      <c r="D62">
        <f>MATCH(A61,'Periods 26-25'!$C$2:$C$13,1)</f>
        <v>5</v>
      </c>
      <c r="E62" t="s">
        <v>95</v>
      </c>
      <c r="G62" t="b">
        <f>AND($A61&gt;='Upcoming Income'!$B$4,$A61&lt;='Upcoming Income'!$B$4+'Upcoming Income'!$E$4)</f>
        <v>0</v>
      </c>
      <c r="H62" s="5" t="str">
        <f t="shared" si="1"/>
        <v/>
      </c>
    </row>
    <row r="63" spans="1:8" x14ac:dyDescent="0.3">
      <c r="A63" s="5">
        <v>46169</v>
      </c>
      <c r="B63" t="s">
        <v>94</v>
      </c>
      <c r="C63" s="4">
        <f>Setup!$B$6</f>
        <v>100</v>
      </c>
      <c r="D63">
        <f>MATCH(A62,'Periods 26-25'!$C$2:$C$13,1)</f>
        <v>5</v>
      </c>
      <c r="E63" t="s">
        <v>95</v>
      </c>
      <c r="G63" t="b">
        <f>AND($A62&gt;='Upcoming Income'!$B$4,$A62&lt;='Upcoming Income'!$B$4+'Upcoming Income'!$E$4)</f>
        <v>0</v>
      </c>
      <c r="H63" s="5" t="str">
        <f t="shared" si="1"/>
        <v/>
      </c>
    </row>
    <row r="64" spans="1:8" x14ac:dyDescent="0.3">
      <c r="A64" s="5">
        <v>46176</v>
      </c>
      <c r="B64" t="s">
        <v>94</v>
      </c>
      <c r="C64" s="4">
        <f>Setup!$B$6</f>
        <v>100</v>
      </c>
      <c r="D64">
        <f>MATCH(A63,'Periods 26-25'!$C$2:$C$13,1)</f>
        <v>6</v>
      </c>
      <c r="E64" t="s">
        <v>95</v>
      </c>
      <c r="G64" t="b">
        <f>AND($A63&gt;='Upcoming Income'!$B$4,$A63&lt;='Upcoming Income'!$B$4+'Upcoming Income'!$E$4)</f>
        <v>0</v>
      </c>
      <c r="H64" s="5" t="str">
        <f t="shared" si="1"/>
        <v/>
      </c>
    </row>
    <row r="65" spans="1:8" x14ac:dyDescent="0.3">
      <c r="A65" s="5">
        <v>46183</v>
      </c>
      <c r="B65" t="s">
        <v>94</v>
      </c>
      <c r="C65" s="4">
        <f>Setup!$B$6</f>
        <v>100</v>
      </c>
      <c r="D65">
        <f>MATCH(A64,'Periods 26-25'!$C$2:$C$13,1)</f>
        <v>6</v>
      </c>
      <c r="E65" t="s">
        <v>95</v>
      </c>
      <c r="G65" t="b">
        <f>AND($A64&gt;='Upcoming Income'!$B$4,$A64&lt;='Upcoming Income'!$B$4+'Upcoming Income'!$E$4)</f>
        <v>0</v>
      </c>
      <c r="H65" s="5" t="str">
        <f t="shared" si="1"/>
        <v/>
      </c>
    </row>
    <row r="66" spans="1:8" x14ac:dyDescent="0.3">
      <c r="A66" s="5">
        <v>46190</v>
      </c>
      <c r="B66" t="s">
        <v>94</v>
      </c>
      <c r="C66" s="4">
        <f>Setup!$B$6</f>
        <v>100</v>
      </c>
      <c r="D66">
        <f>MATCH(A65,'Periods 26-25'!$C$2:$C$13,1)</f>
        <v>6</v>
      </c>
      <c r="E66" t="s">
        <v>95</v>
      </c>
      <c r="G66" t="b">
        <f>AND($A65&gt;='Upcoming Income'!$B$4,$A65&lt;='Upcoming Income'!$B$4+'Upcoming Income'!$E$4)</f>
        <v>0</v>
      </c>
      <c r="H66" s="5" t="str">
        <f t="shared" si="1"/>
        <v/>
      </c>
    </row>
    <row r="67" spans="1:8" x14ac:dyDescent="0.3">
      <c r="A67" s="5">
        <v>46197</v>
      </c>
      <c r="B67" t="s">
        <v>94</v>
      </c>
      <c r="C67" s="4">
        <f>Setup!$B$6</f>
        <v>100</v>
      </c>
      <c r="D67">
        <f>MATCH(A66,'Periods 26-25'!$C$2:$C$13,1)</f>
        <v>6</v>
      </c>
      <c r="E67" t="s">
        <v>95</v>
      </c>
      <c r="G67" t="b">
        <f>AND($A66&gt;='Upcoming Income'!$B$4,$A66&lt;='Upcoming Income'!$B$4+'Upcoming Income'!$E$4)</f>
        <v>0</v>
      </c>
      <c r="H67" s="5" t="str">
        <f t="shared" si="1"/>
        <v/>
      </c>
    </row>
    <row r="68" spans="1:8" x14ac:dyDescent="0.3">
      <c r="A68" s="5">
        <v>46204</v>
      </c>
      <c r="B68" t="s">
        <v>94</v>
      </c>
      <c r="C68" s="4">
        <f>Setup!$B$6</f>
        <v>100</v>
      </c>
      <c r="D68">
        <f>MATCH(A67,'Periods 26-25'!$C$2:$C$13,1)</f>
        <v>6</v>
      </c>
      <c r="E68" t="s">
        <v>95</v>
      </c>
      <c r="G68" t="b">
        <f>AND($A67&gt;='Upcoming Income'!$B$4,$A67&lt;='Upcoming Income'!$B$4+'Upcoming Income'!$E$4)</f>
        <v>0</v>
      </c>
      <c r="H68" s="5" t="str">
        <f t="shared" ref="H68:H97" si="2">IF($G67,$A67+ROW()/100000,"")</f>
        <v/>
      </c>
    </row>
    <row r="69" spans="1:8" x14ac:dyDescent="0.3">
      <c r="A69" s="5">
        <v>46211</v>
      </c>
      <c r="B69" t="s">
        <v>94</v>
      </c>
      <c r="C69" s="4">
        <f>Setup!$B$6</f>
        <v>100</v>
      </c>
      <c r="D69">
        <f>MATCH(A68,'Periods 26-25'!$C$2:$C$13,1)</f>
        <v>7</v>
      </c>
      <c r="E69" t="s">
        <v>95</v>
      </c>
      <c r="G69" t="b">
        <f>AND($A68&gt;='Upcoming Income'!$B$4,$A68&lt;='Upcoming Income'!$B$4+'Upcoming Income'!$E$4)</f>
        <v>0</v>
      </c>
      <c r="H69" s="5" t="str">
        <f t="shared" si="2"/>
        <v/>
      </c>
    </row>
    <row r="70" spans="1:8" x14ac:dyDescent="0.3">
      <c r="A70" s="5">
        <v>46218</v>
      </c>
      <c r="B70" t="s">
        <v>94</v>
      </c>
      <c r="C70" s="4">
        <f>Setup!$B$6</f>
        <v>100</v>
      </c>
      <c r="D70">
        <f>MATCH(A69,'Periods 26-25'!$C$2:$C$13,1)</f>
        <v>7</v>
      </c>
      <c r="E70" t="s">
        <v>95</v>
      </c>
      <c r="G70" t="b">
        <f>AND($A69&gt;='Upcoming Income'!$B$4,$A69&lt;='Upcoming Income'!$B$4+'Upcoming Income'!$E$4)</f>
        <v>0</v>
      </c>
      <c r="H70" s="5" t="str">
        <f t="shared" si="2"/>
        <v/>
      </c>
    </row>
    <row r="71" spans="1:8" x14ac:dyDescent="0.3">
      <c r="A71" s="5">
        <v>46225</v>
      </c>
      <c r="B71" t="s">
        <v>94</v>
      </c>
      <c r="C71" s="4">
        <f>Setup!$B$6</f>
        <v>100</v>
      </c>
      <c r="D71">
        <f>MATCH(A70,'Periods 26-25'!$C$2:$C$13,1)</f>
        <v>7</v>
      </c>
      <c r="E71" t="s">
        <v>95</v>
      </c>
      <c r="G71" t="b">
        <f>AND($A70&gt;='Upcoming Income'!$B$4,$A70&lt;='Upcoming Income'!$B$4+'Upcoming Income'!$E$4)</f>
        <v>0</v>
      </c>
      <c r="H71" s="5" t="str">
        <f t="shared" si="2"/>
        <v/>
      </c>
    </row>
    <row r="72" spans="1:8" x14ac:dyDescent="0.3">
      <c r="A72" s="5">
        <v>46232</v>
      </c>
      <c r="B72" t="s">
        <v>94</v>
      </c>
      <c r="C72" s="4">
        <f>Setup!$B$6</f>
        <v>100</v>
      </c>
      <c r="D72">
        <f>MATCH(A71,'Periods 26-25'!$C$2:$C$13,1)</f>
        <v>7</v>
      </c>
      <c r="E72" t="s">
        <v>95</v>
      </c>
      <c r="G72" t="b">
        <f>AND($A71&gt;='Upcoming Income'!$B$4,$A71&lt;='Upcoming Income'!$B$4+'Upcoming Income'!$E$4)</f>
        <v>0</v>
      </c>
      <c r="H72" s="5" t="str">
        <f t="shared" si="2"/>
        <v/>
      </c>
    </row>
    <row r="73" spans="1:8" x14ac:dyDescent="0.3">
      <c r="A73" s="5">
        <v>46239</v>
      </c>
      <c r="B73" t="s">
        <v>94</v>
      </c>
      <c r="C73" s="4">
        <f>Setup!$B$6</f>
        <v>100</v>
      </c>
      <c r="D73">
        <f>MATCH(A72,'Periods 26-25'!$C$2:$C$13,1)</f>
        <v>8</v>
      </c>
      <c r="E73" t="s">
        <v>95</v>
      </c>
      <c r="G73" t="b">
        <f>AND($A72&gt;='Upcoming Income'!$B$4,$A72&lt;='Upcoming Income'!$B$4+'Upcoming Income'!$E$4)</f>
        <v>0</v>
      </c>
      <c r="H73" s="5" t="str">
        <f t="shared" si="2"/>
        <v/>
      </c>
    </row>
    <row r="74" spans="1:8" x14ac:dyDescent="0.3">
      <c r="A74" s="5">
        <v>46246</v>
      </c>
      <c r="B74" t="s">
        <v>94</v>
      </c>
      <c r="C74" s="4">
        <f>Setup!$B$6</f>
        <v>100</v>
      </c>
      <c r="D74">
        <f>MATCH(A73,'Periods 26-25'!$C$2:$C$13,1)</f>
        <v>8</v>
      </c>
      <c r="E74" t="s">
        <v>95</v>
      </c>
      <c r="G74" t="b">
        <f>AND($A73&gt;='Upcoming Income'!$B$4,$A73&lt;='Upcoming Income'!$B$4+'Upcoming Income'!$E$4)</f>
        <v>0</v>
      </c>
      <c r="H74" s="5" t="str">
        <f t="shared" si="2"/>
        <v/>
      </c>
    </row>
    <row r="75" spans="1:8" x14ac:dyDescent="0.3">
      <c r="A75" s="5">
        <v>46253</v>
      </c>
      <c r="B75" t="s">
        <v>94</v>
      </c>
      <c r="C75" s="4">
        <f>Setup!$B$6</f>
        <v>100</v>
      </c>
      <c r="D75">
        <f>MATCH(A74,'Periods 26-25'!$C$2:$C$13,1)</f>
        <v>8</v>
      </c>
      <c r="E75" t="s">
        <v>95</v>
      </c>
      <c r="G75" t="b">
        <f>AND($A74&gt;='Upcoming Income'!$B$4,$A74&lt;='Upcoming Income'!$B$4+'Upcoming Income'!$E$4)</f>
        <v>0</v>
      </c>
      <c r="H75" s="5" t="str">
        <f t="shared" si="2"/>
        <v/>
      </c>
    </row>
    <row r="76" spans="1:8" x14ac:dyDescent="0.3">
      <c r="A76" s="5">
        <v>46260</v>
      </c>
      <c r="B76" t="s">
        <v>94</v>
      </c>
      <c r="C76" s="4">
        <f>Setup!$B$6</f>
        <v>100</v>
      </c>
      <c r="D76">
        <f>MATCH(A75,'Periods 26-25'!$C$2:$C$13,1)</f>
        <v>8</v>
      </c>
      <c r="E76" t="s">
        <v>95</v>
      </c>
      <c r="G76" t="b">
        <f>AND($A75&gt;='Upcoming Income'!$B$4,$A75&lt;='Upcoming Income'!$B$4+'Upcoming Income'!$E$4)</f>
        <v>0</v>
      </c>
      <c r="H76" s="5" t="str">
        <f t="shared" si="2"/>
        <v/>
      </c>
    </row>
    <row r="77" spans="1:8" x14ac:dyDescent="0.3">
      <c r="A77" s="5">
        <v>46267</v>
      </c>
      <c r="B77" t="s">
        <v>94</v>
      </c>
      <c r="C77" s="4">
        <f>Setup!$B$6</f>
        <v>100</v>
      </c>
      <c r="D77">
        <f>MATCH(A76,'Periods 26-25'!$C$2:$C$13,1)</f>
        <v>9</v>
      </c>
      <c r="E77" t="s">
        <v>95</v>
      </c>
      <c r="G77" t="b">
        <f>AND($A76&gt;='Upcoming Income'!$B$4,$A76&lt;='Upcoming Income'!$B$4+'Upcoming Income'!$E$4)</f>
        <v>0</v>
      </c>
      <c r="H77" s="5" t="str">
        <f t="shared" si="2"/>
        <v/>
      </c>
    </row>
    <row r="78" spans="1:8" x14ac:dyDescent="0.3">
      <c r="A78" s="5">
        <v>46274</v>
      </c>
      <c r="B78" t="s">
        <v>94</v>
      </c>
      <c r="C78" s="4">
        <f>Setup!$B$6</f>
        <v>100</v>
      </c>
      <c r="D78">
        <f>MATCH(A77,'Periods 26-25'!$C$2:$C$13,1)</f>
        <v>9</v>
      </c>
      <c r="E78" t="s">
        <v>95</v>
      </c>
      <c r="G78" t="b">
        <f>AND($A77&gt;='Upcoming Income'!$B$4,$A77&lt;='Upcoming Income'!$B$4+'Upcoming Income'!$E$4)</f>
        <v>0</v>
      </c>
      <c r="H78" s="5" t="str">
        <f t="shared" si="2"/>
        <v/>
      </c>
    </row>
    <row r="79" spans="1:8" x14ac:dyDescent="0.3">
      <c r="A79" s="5">
        <v>46281</v>
      </c>
      <c r="B79" t="s">
        <v>94</v>
      </c>
      <c r="C79" s="4">
        <f>Setup!$B$6</f>
        <v>100</v>
      </c>
      <c r="D79">
        <f>MATCH(A78,'Periods 26-25'!$C$2:$C$13,1)</f>
        <v>9</v>
      </c>
      <c r="E79" t="s">
        <v>95</v>
      </c>
      <c r="G79" t="b">
        <f>AND($A78&gt;='Upcoming Income'!$B$4,$A78&lt;='Upcoming Income'!$B$4+'Upcoming Income'!$E$4)</f>
        <v>0</v>
      </c>
      <c r="H79" s="5" t="str">
        <f t="shared" si="2"/>
        <v/>
      </c>
    </row>
    <row r="80" spans="1:8" x14ac:dyDescent="0.3">
      <c r="A80" s="5">
        <v>46288</v>
      </c>
      <c r="B80" t="s">
        <v>94</v>
      </c>
      <c r="C80" s="4">
        <f>Setup!$B$6</f>
        <v>100</v>
      </c>
      <c r="D80">
        <f>MATCH(A79,'Periods 26-25'!$C$2:$C$13,1)</f>
        <v>9</v>
      </c>
      <c r="E80" t="s">
        <v>95</v>
      </c>
      <c r="G80" t="b">
        <f>AND($A79&gt;='Upcoming Income'!$B$4,$A79&lt;='Upcoming Income'!$B$4+'Upcoming Income'!$E$4)</f>
        <v>0</v>
      </c>
      <c r="H80" s="5" t="str">
        <f t="shared" si="2"/>
        <v/>
      </c>
    </row>
    <row r="81" spans="1:8" x14ac:dyDescent="0.3">
      <c r="A81" s="5">
        <v>46295</v>
      </c>
      <c r="B81" t="s">
        <v>94</v>
      </c>
      <c r="C81" s="4">
        <f>Setup!$B$6</f>
        <v>100</v>
      </c>
      <c r="D81">
        <f>MATCH(A80,'Periods 26-25'!$C$2:$C$13,1)</f>
        <v>9</v>
      </c>
      <c r="E81" t="s">
        <v>95</v>
      </c>
      <c r="G81" t="b">
        <f>AND($A80&gt;='Upcoming Income'!$B$4,$A80&lt;='Upcoming Income'!$B$4+'Upcoming Income'!$E$4)</f>
        <v>0</v>
      </c>
      <c r="H81" s="5" t="str">
        <f t="shared" si="2"/>
        <v/>
      </c>
    </row>
    <row r="82" spans="1:8" x14ac:dyDescent="0.3">
      <c r="A82" s="5">
        <v>46302</v>
      </c>
      <c r="B82" t="s">
        <v>94</v>
      </c>
      <c r="C82" s="4">
        <f>Setup!$B$6</f>
        <v>100</v>
      </c>
      <c r="D82">
        <f>MATCH(A81,'Periods 26-25'!$C$2:$C$13,1)</f>
        <v>10</v>
      </c>
      <c r="E82" t="s">
        <v>95</v>
      </c>
      <c r="G82" t="b">
        <f>AND($A81&gt;='Upcoming Income'!$B$4,$A81&lt;='Upcoming Income'!$B$4+'Upcoming Income'!$E$4)</f>
        <v>0</v>
      </c>
      <c r="H82" s="5" t="str">
        <f t="shared" si="2"/>
        <v/>
      </c>
    </row>
    <row r="83" spans="1:8" x14ac:dyDescent="0.3">
      <c r="A83" s="5">
        <v>46309</v>
      </c>
      <c r="B83" t="s">
        <v>94</v>
      </c>
      <c r="C83" s="4">
        <f>Setup!$B$6</f>
        <v>100</v>
      </c>
      <c r="D83">
        <f>MATCH(A82,'Periods 26-25'!$C$2:$C$13,1)</f>
        <v>10</v>
      </c>
      <c r="E83" t="s">
        <v>95</v>
      </c>
      <c r="G83" t="b">
        <f>AND($A82&gt;='Upcoming Income'!$B$4,$A82&lt;='Upcoming Income'!$B$4+'Upcoming Income'!$E$4)</f>
        <v>0</v>
      </c>
      <c r="H83" s="5" t="str">
        <f t="shared" si="2"/>
        <v/>
      </c>
    </row>
    <row r="84" spans="1:8" x14ac:dyDescent="0.3">
      <c r="A84" s="5">
        <v>46316</v>
      </c>
      <c r="B84" t="s">
        <v>94</v>
      </c>
      <c r="C84" s="4">
        <f>Setup!$B$6</f>
        <v>100</v>
      </c>
      <c r="D84">
        <f>MATCH(A83,'Periods 26-25'!$C$2:$C$13,1)</f>
        <v>10</v>
      </c>
      <c r="E84" t="s">
        <v>95</v>
      </c>
      <c r="G84" t="b">
        <f>AND($A83&gt;='Upcoming Income'!$B$4,$A83&lt;='Upcoming Income'!$B$4+'Upcoming Income'!$E$4)</f>
        <v>0</v>
      </c>
      <c r="H84" s="5" t="str">
        <f t="shared" si="2"/>
        <v/>
      </c>
    </row>
    <row r="85" spans="1:8" x14ac:dyDescent="0.3">
      <c r="A85" s="5">
        <v>46323</v>
      </c>
      <c r="B85" t="s">
        <v>94</v>
      </c>
      <c r="C85" s="4">
        <f>Setup!$B$6</f>
        <v>100</v>
      </c>
      <c r="D85">
        <f>MATCH(A84,'Periods 26-25'!$C$2:$C$13,1)</f>
        <v>10</v>
      </c>
      <c r="E85" t="s">
        <v>95</v>
      </c>
      <c r="G85" t="b">
        <f>AND($A84&gt;='Upcoming Income'!$B$4,$A84&lt;='Upcoming Income'!$B$4+'Upcoming Income'!$E$4)</f>
        <v>0</v>
      </c>
      <c r="H85" s="5" t="str">
        <f t="shared" si="2"/>
        <v/>
      </c>
    </row>
    <row r="86" spans="1:8" x14ac:dyDescent="0.3">
      <c r="A86" s="5">
        <v>46330</v>
      </c>
      <c r="B86" t="s">
        <v>94</v>
      </c>
      <c r="C86" s="4">
        <f>Setup!$B$6</f>
        <v>100</v>
      </c>
      <c r="D86">
        <f>MATCH(A85,'Periods 26-25'!$C$2:$C$13,1)</f>
        <v>11</v>
      </c>
      <c r="E86" t="s">
        <v>95</v>
      </c>
      <c r="G86" t="b">
        <f>AND($A85&gt;='Upcoming Income'!$B$4,$A85&lt;='Upcoming Income'!$B$4+'Upcoming Income'!$E$4)</f>
        <v>0</v>
      </c>
      <c r="H86" s="5" t="str">
        <f t="shared" si="2"/>
        <v/>
      </c>
    </row>
    <row r="87" spans="1:8" x14ac:dyDescent="0.3">
      <c r="A87" s="5">
        <v>46337</v>
      </c>
      <c r="B87" t="s">
        <v>94</v>
      </c>
      <c r="C87" s="4">
        <f>Setup!$B$6</f>
        <v>100</v>
      </c>
      <c r="D87">
        <f>MATCH(A86,'Periods 26-25'!$C$2:$C$13,1)</f>
        <v>11</v>
      </c>
      <c r="E87" t="s">
        <v>95</v>
      </c>
      <c r="G87" t="b">
        <f>AND($A86&gt;='Upcoming Income'!$B$4,$A86&lt;='Upcoming Income'!$B$4+'Upcoming Income'!$E$4)</f>
        <v>0</v>
      </c>
      <c r="H87" s="5" t="str">
        <f t="shared" si="2"/>
        <v/>
      </c>
    </row>
    <row r="88" spans="1:8" x14ac:dyDescent="0.3">
      <c r="A88" s="5">
        <v>46344</v>
      </c>
      <c r="B88" t="s">
        <v>94</v>
      </c>
      <c r="C88" s="4">
        <f>Setup!$B$6</f>
        <v>100</v>
      </c>
      <c r="D88">
        <f>MATCH(A87,'Periods 26-25'!$C$2:$C$13,1)</f>
        <v>11</v>
      </c>
      <c r="E88" t="s">
        <v>95</v>
      </c>
      <c r="G88" t="b">
        <f>AND($A87&gt;='Upcoming Income'!$B$4,$A87&lt;='Upcoming Income'!$B$4+'Upcoming Income'!$E$4)</f>
        <v>0</v>
      </c>
      <c r="H88" s="5" t="str">
        <f t="shared" si="2"/>
        <v/>
      </c>
    </row>
    <row r="89" spans="1:8" x14ac:dyDescent="0.3">
      <c r="A89" s="5">
        <v>46351</v>
      </c>
      <c r="B89" t="s">
        <v>94</v>
      </c>
      <c r="C89" s="4">
        <f>Setup!$B$6</f>
        <v>100</v>
      </c>
      <c r="D89">
        <f>MATCH(A88,'Periods 26-25'!$C$2:$C$13,1)</f>
        <v>11</v>
      </c>
      <c r="E89" t="s">
        <v>95</v>
      </c>
      <c r="G89" t="b">
        <f>AND($A88&gt;='Upcoming Income'!$B$4,$A88&lt;='Upcoming Income'!$B$4+'Upcoming Income'!$E$4)</f>
        <v>0</v>
      </c>
      <c r="H89" s="5" t="str">
        <f t="shared" si="2"/>
        <v/>
      </c>
    </row>
    <row r="90" spans="1:8" x14ac:dyDescent="0.3">
      <c r="A90" s="5">
        <v>46358</v>
      </c>
      <c r="B90" t="s">
        <v>94</v>
      </c>
      <c r="C90" s="4">
        <f>Setup!$B$6</f>
        <v>100</v>
      </c>
      <c r="D90">
        <f>MATCH(A89,'Periods 26-25'!$C$2:$C$13,1)</f>
        <v>11</v>
      </c>
      <c r="E90" t="s">
        <v>95</v>
      </c>
      <c r="G90" t="b">
        <f>AND($A89&gt;='Upcoming Income'!$B$4,$A89&lt;='Upcoming Income'!$B$4+'Upcoming Income'!$E$4)</f>
        <v>0</v>
      </c>
      <c r="H90" s="5" t="str">
        <f t="shared" si="2"/>
        <v/>
      </c>
    </row>
    <row r="91" spans="1:8" x14ac:dyDescent="0.3">
      <c r="A91" s="5">
        <v>46365</v>
      </c>
      <c r="B91" t="s">
        <v>94</v>
      </c>
      <c r="C91" s="4">
        <f>Setup!$B$6</f>
        <v>100</v>
      </c>
      <c r="D91">
        <f>MATCH(A90,'Periods 26-25'!$C$2:$C$13,1)</f>
        <v>12</v>
      </c>
      <c r="E91" t="s">
        <v>95</v>
      </c>
      <c r="G91" t="b">
        <f>AND($A90&gt;='Upcoming Income'!$B$4,$A90&lt;='Upcoming Income'!$B$4+'Upcoming Income'!$E$4)</f>
        <v>0</v>
      </c>
      <c r="H91" s="5" t="str">
        <f t="shared" si="2"/>
        <v/>
      </c>
    </row>
    <row r="92" spans="1:8" x14ac:dyDescent="0.3">
      <c r="A92" s="5">
        <v>46372</v>
      </c>
      <c r="B92" t="s">
        <v>94</v>
      </c>
      <c r="C92" s="4">
        <f>Setup!$B$6</f>
        <v>100</v>
      </c>
      <c r="D92">
        <f>MATCH(A91,'Periods 26-25'!$C$2:$C$13,1)</f>
        <v>12</v>
      </c>
      <c r="E92" t="s">
        <v>95</v>
      </c>
      <c r="G92" t="b">
        <f>AND($A91&gt;='Upcoming Income'!$B$4,$A91&lt;='Upcoming Income'!$B$4+'Upcoming Income'!$E$4)</f>
        <v>0</v>
      </c>
      <c r="H92" s="5" t="str">
        <f t="shared" si="2"/>
        <v/>
      </c>
    </row>
    <row r="93" spans="1:8" x14ac:dyDescent="0.3">
      <c r="A93" s="5">
        <v>46379</v>
      </c>
      <c r="B93" t="s">
        <v>94</v>
      </c>
      <c r="C93" s="4">
        <f>Setup!$B$6</f>
        <v>100</v>
      </c>
      <c r="D93">
        <f>MATCH(A92,'Periods 26-25'!$C$2:$C$13,1)</f>
        <v>12</v>
      </c>
      <c r="E93" t="s">
        <v>95</v>
      </c>
      <c r="G93" t="b">
        <f>AND($A92&gt;='Upcoming Income'!$B$4,$A92&lt;='Upcoming Income'!$B$4+'Upcoming Income'!$E$4)</f>
        <v>0</v>
      </c>
      <c r="H93" s="5" t="str">
        <f t="shared" si="2"/>
        <v/>
      </c>
    </row>
    <row r="94" spans="1:8" x14ac:dyDescent="0.3">
      <c r="A94" s="5">
        <v>46386</v>
      </c>
      <c r="B94" t="s">
        <v>94</v>
      </c>
      <c r="C94" s="4">
        <f>Setup!$B$6</f>
        <v>100</v>
      </c>
      <c r="D94">
        <f>MATCH(A93,'Periods 26-25'!$C$2:$C$13,1)</f>
        <v>12</v>
      </c>
      <c r="E94" t="s">
        <v>95</v>
      </c>
      <c r="G94" t="b">
        <f>AND($A93&gt;='Upcoming Income'!$B$4,$A93&lt;='Upcoming Income'!$B$4+'Upcoming Income'!$E$4)</f>
        <v>0</v>
      </c>
      <c r="H94" s="5" t="str">
        <f t="shared" si="2"/>
        <v/>
      </c>
    </row>
    <row r="95" spans="1:8" x14ac:dyDescent="0.3">
      <c r="A95" s="28" t="s">
        <v>96</v>
      </c>
      <c r="G95" t="b">
        <f>AND($A94&gt;='Upcoming Income'!$B$4,$A94&lt;='Upcoming Income'!$B$4+'Upcoming Income'!$E$4)</f>
        <v>0</v>
      </c>
      <c r="H95" s="5" t="str">
        <f t="shared" si="2"/>
        <v/>
      </c>
    </row>
    <row r="96" spans="1:8" x14ac:dyDescent="0.3">
      <c r="A96" s="5">
        <v>46015</v>
      </c>
      <c r="B96" t="s">
        <v>94</v>
      </c>
      <c r="C96" s="4">
        <f>Setup!$B$6</f>
        <v>100</v>
      </c>
      <c r="E96" t="s">
        <v>97</v>
      </c>
      <c r="G96" t="b">
        <f>AND($A95&gt;='Upcoming Income'!$B$4,$A95&lt;='Upcoming Income'!$B$4+'Upcoming Income'!$E$4)</f>
        <v>0</v>
      </c>
      <c r="H96" s="5" t="str">
        <f t="shared" si="2"/>
        <v/>
      </c>
    </row>
    <row r="97" spans="1:8" x14ac:dyDescent="0.3">
      <c r="A97" s="5">
        <v>46022</v>
      </c>
      <c r="B97" t="s">
        <v>94</v>
      </c>
      <c r="C97" s="4">
        <f>Setup!$B$6</f>
        <v>100</v>
      </c>
      <c r="E97" t="s">
        <v>97</v>
      </c>
      <c r="G97" t="b">
        <f>AND($A96&gt;='Upcoming Income'!$B$4,$A96&lt;='Upcoming Income'!$B$4+'Upcoming Income'!$E$4)</f>
        <v>0</v>
      </c>
      <c r="H97" s="5" t="str">
        <f t="shared" si="2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M1200"/>
  <sheetViews>
    <sheetView workbookViewId="0">
      <pane ySplit="1" topLeftCell="A22" activePane="bottomLeft" state="frozen"/>
      <selection pane="bottomLeft" activeCell="D43" sqref="D43"/>
    </sheetView>
  </sheetViews>
  <sheetFormatPr defaultRowHeight="14.4" x14ac:dyDescent="0.3"/>
  <cols>
    <col min="1" max="1" width="14" customWidth="1"/>
    <col min="2" max="2" width="12" customWidth="1"/>
    <col min="3" max="3" width="28" customWidth="1"/>
    <col min="4" max="4" width="34" customWidth="1"/>
    <col min="5" max="5" width="14" customWidth="1"/>
    <col min="6" max="6" width="10" customWidth="1"/>
    <col min="7" max="7" width="16" customWidth="1"/>
    <col min="8" max="8" width="30.88671875" customWidth="1"/>
    <col min="9" max="9" width="12" customWidth="1"/>
  </cols>
  <sheetData>
    <row r="1" spans="1:9" ht="28.8" customHeight="1" x14ac:dyDescent="0.3">
      <c r="A1" s="6" t="s">
        <v>85</v>
      </c>
      <c r="B1" s="6" t="s">
        <v>98</v>
      </c>
      <c r="C1" s="6" t="s">
        <v>12</v>
      </c>
      <c r="D1" s="6" t="s">
        <v>99</v>
      </c>
      <c r="E1" s="6" t="s">
        <v>100</v>
      </c>
      <c r="F1" s="6" t="s">
        <v>101</v>
      </c>
      <c r="G1" s="6" t="s">
        <v>102</v>
      </c>
      <c r="H1" s="6" t="s">
        <v>61</v>
      </c>
      <c r="I1" s="6" t="s">
        <v>103</v>
      </c>
    </row>
    <row r="2" spans="1:9" x14ac:dyDescent="0.3">
      <c r="A2" s="82">
        <v>46006</v>
      </c>
      <c r="B2" t="s">
        <v>104</v>
      </c>
      <c r="C2" t="s">
        <v>35</v>
      </c>
      <c r="D2" t="s">
        <v>105</v>
      </c>
      <c r="E2" s="4">
        <v>2.99</v>
      </c>
      <c r="F2" t="s">
        <v>106</v>
      </c>
      <c r="G2" t="s">
        <v>107</v>
      </c>
      <c r="H2" t="s">
        <v>108</v>
      </c>
      <c r="I2" t="str">
        <f>IFERROR(MATCH(A2,'Periods 26-25'!$C$2:$C$13,1),"")</f>
        <v/>
      </c>
    </row>
    <row r="3" spans="1:9" x14ac:dyDescent="0.3">
      <c r="A3" s="82">
        <v>46007</v>
      </c>
      <c r="B3" t="s">
        <v>104</v>
      </c>
      <c r="C3" t="s">
        <v>28</v>
      </c>
      <c r="D3" t="s">
        <v>109</v>
      </c>
      <c r="E3" s="4">
        <v>10</v>
      </c>
      <c r="F3" t="s">
        <v>106</v>
      </c>
      <c r="G3" t="s">
        <v>110</v>
      </c>
      <c r="H3" t="s">
        <v>109</v>
      </c>
      <c r="I3" t="str">
        <f>IFERROR(MATCH(A3,'Periods 26-25'!$C$2:$C$13,1),"")</f>
        <v/>
      </c>
    </row>
    <row r="4" spans="1:9" x14ac:dyDescent="0.3">
      <c r="A4" s="82">
        <v>46008</v>
      </c>
      <c r="B4" t="s">
        <v>104</v>
      </c>
      <c r="C4" t="s">
        <v>28</v>
      </c>
      <c r="D4" t="s">
        <v>109</v>
      </c>
      <c r="E4" s="4">
        <v>10</v>
      </c>
      <c r="F4" t="s">
        <v>106</v>
      </c>
      <c r="G4" t="s">
        <v>110</v>
      </c>
      <c r="H4" t="s">
        <v>111</v>
      </c>
      <c r="I4" t="str">
        <f>IFERROR(MATCH(A4,'Periods 26-25'!$C$2:$C$13,1),"")</f>
        <v/>
      </c>
    </row>
    <row r="5" spans="1:9" x14ac:dyDescent="0.3">
      <c r="A5" s="82">
        <v>46008</v>
      </c>
      <c r="B5" t="s">
        <v>104</v>
      </c>
      <c r="C5" t="s">
        <v>34</v>
      </c>
      <c r="D5" t="s">
        <v>112</v>
      </c>
      <c r="E5" s="4">
        <v>45.6</v>
      </c>
      <c r="F5" t="s">
        <v>106</v>
      </c>
      <c r="G5" t="s">
        <v>110</v>
      </c>
      <c r="H5" t="s">
        <v>113</v>
      </c>
      <c r="I5" t="str">
        <f>IFERROR(MATCH(A5,'Periods 26-25'!$C$2:$C$13,1),"")</f>
        <v/>
      </c>
    </row>
    <row r="6" spans="1:9" x14ac:dyDescent="0.3">
      <c r="A6" s="82">
        <v>46009</v>
      </c>
      <c r="B6" t="s">
        <v>104</v>
      </c>
      <c r="C6" t="s">
        <v>34</v>
      </c>
      <c r="D6" t="s">
        <v>114</v>
      </c>
      <c r="E6" s="4">
        <v>4.99</v>
      </c>
      <c r="F6" t="s">
        <v>106</v>
      </c>
      <c r="G6" t="s">
        <v>110</v>
      </c>
      <c r="H6" t="s">
        <v>115</v>
      </c>
      <c r="I6" t="str">
        <f>IFERROR(MATCH(A6,'Periods 26-25'!$C$2:$C$13,1),"")</f>
        <v/>
      </c>
    </row>
    <row r="7" spans="1:9" x14ac:dyDescent="0.3">
      <c r="A7" s="82">
        <v>46010</v>
      </c>
      <c r="B7" t="s">
        <v>104</v>
      </c>
      <c r="C7" t="s">
        <v>34</v>
      </c>
      <c r="D7" t="s">
        <v>112</v>
      </c>
      <c r="E7" s="4">
        <v>4</v>
      </c>
      <c r="F7" t="s">
        <v>106</v>
      </c>
      <c r="G7" t="s">
        <v>110</v>
      </c>
      <c r="H7" t="s">
        <v>116</v>
      </c>
      <c r="I7" t="str">
        <f>IFERROR(MATCH(A7,'Periods 26-25'!$C$2:$C$13,1),"")</f>
        <v/>
      </c>
    </row>
    <row r="8" spans="1:9" x14ac:dyDescent="0.3">
      <c r="A8" s="82">
        <v>46007</v>
      </c>
      <c r="B8" t="s">
        <v>104</v>
      </c>
      <c r="C8" t="s">
        <v>35</v>
      </c>
      <c r="D8" t="s">
        <v>117</v>
      </c>
      <c r="E8" s="4">
        <v>7.2</v>
      </c>
      <c r="F8" t="s">
        <v>106</v>
      </c>
      <c r="G8" t="s">
        <v>110</v>
      </c>
      <c r="H8" t="s">
        <v>118</v>
      </c>
      <c r="I8" t="str">
        <f>IFERROR(MATCH(A8,'Periods 26-25'!$C$2:$C$13,1),"")</f>
        <v/>
      </c>
    </row>
    <row r="9" spans="1:9" x14ac:dyDescent="0.3">
      <c r="A9" s="82">
        <v>46010</v>
      </c>
      <c r="B9" t="s">
        <v>104</v>
      </c>
      <c r="C9" t="s">
        <v>35</v>
      </c>
      <c r="D9" t="s">
        <v>32</v>
      </c>
      <c r="E9" s="4">
        <v>30.01</v>
      </c>
      <c r="F9" t="s">
        <v>106</v>
      </c>
      <c r="G9" t="s">
        <v>110</v>
      </c>
      <c r="H9" t="s">
        <v>119</v>
      </c>
      <c r="I9" t="str">
        <f>IFERROR(MATCH(A9,'Periods 26-25'!$C$2:$C$13,1),"")</f>
        <v/>
      </c>
    </row>
    <row r="10" spans="1:9" x14ac:dyDescent="0.3">
      <c r="A10" s="82">
        <v>46011</v>
      </c>
      <c r="B10" t="s">
        <v>104</v>
      </c>
      <c r="C10" t="s">
        <v>35</v>
      </c>
      <c r="D10" t="s">
        <v>117</v>
      </c>
      <c r="E10" s="4">
        <v>10.1</v>
      </c>
      <c r="F10" t="s">
        <v>106</v>
      </c>
      <c r="G10" t="s">
        <v>110</v>
      </c>
      <c r="H10" t="s">
        <v>120</v>
      </c>
      <c r="I10" t="str">
        <f>IFERROR(MATCH(A10,'Periods 26-25'!$C$2:$C$13,1),"")</f>
        <v/>
      </c>
    </row>
    <row r="11" spans="1:9" x14ac:dyDescent="0.3">
      <c r="A11" s="82">
        <v>46011</v>
      </c>
      <c r="B11" t="s">
        <v>104</v>
      </c>
      <c r="C11" t="s">
        <v>35</v>
      </c>
      <c r="D11" t="s">
        <v>117</v>
      </c>
      <c r="E11" s="4">
        <v>4.97</v>
      </c>
      <c r="F11" t="s">
        <v>106</v>
      </c>
      <c r="G11" t="s">
        <v>110</v>
      </c>
      <c r="H11" t="s">
        <v>121</v>
      </c>
      <c r="I11" t="str">
        <f>IFERROR(MATCH(A11,'Periods 26-25'!$C$2:$C$13,1),"")</f>
        <v/>
      </c>
    </row>
    <row r="12" spans="1:9" x14ac:dyDescent="0.3">
      <c r="A12" s="82">
        <v>46012</v>
      </c>
      <c r="B12" t="s">
        <v>104</v>
      </c>
      <c r="C12" t="s">
        <v>35</v>
      </c>
      <c r="D12" t="s">
        <v>122</v>
      </c>
      <c r="E12" s="4">
        <v>10</v>
      </c>
      <c r="F12" t="s">
        <v>123</v>
      </c>
      <c r="G12" t="s">
        <v>110</v>
      </c>
      <c r="H12" t="s">
        <v>124</v>
      </c>
      <c r="I12" t="str">
        <f>IFERROR(MATCH(A12,'Periods 26-25'!$C$2:$C$13,1),"")</f>
        <v/>
      </c>
    </row>
    <row r="13" spans="1:9" x14ac:dyDescent="0.3">
      <c r="A13" s="82">
        <v>46013</v>
      </c>
      <c r="B13" t="s">
        <v>172</v>
      </c>
      <c r="C13" t="s">
        <v>14</v>
      </c>
      <c r="D13" t="s">
        <v>221</v>
      </c>
      <c r="E13" s="4">
        <v>3700</v>
      </c>
      <c r="F13" t="s">
        <v>106</v>
      </c>
      <c r="G13" t="s">
        <v>222</v>
      </c>
      <c r="H13" t="s">
        <v>223</v>
      </c>
      <c r="I13">
        <f>IFERROR(MATCH(A13,'Periods 26-25'!$C$2:$C$13,1),"")</f>
        <v>1</v>
      </c>
    </row>
    <row r="14" spans="1:9" x14ac:dyDescent="0.3">
      <c r="A14" s="82">
        <v>46013</v>
      </c>
      <c r="B14" t="s">
        <v>104</v>
      </c>
      <c r="C14" t="s">
        <v>241</v>
      </c>
      <c r="D14" t="s">
        <v>227</v>
      </c>
      <c r="E14" s="4">
        <v>9.5</v>
      </c>
      <c r="F14" t="s">
        <v>106</v>
      </c>
      <c r="G14" t="s">
        <v>110</v>
      </c>
      <c r="H14" t="s">
        <v>228</v>
      </c>
      <c r="I14">
        <f>IFERROR(MATCH(A14,'Periods 26-25'!$C$2:$C$13,1),"")</f>
        <v>1</v>
      </c>
    </row>
    <row r="15" spans="1:9" x14ac:dyDescent="0.3">
      <c r="A15" s="82">
        <v>46014</v>
      </c>
      <c r="B15" t="s">
        <v>104</v>
      </c>
      <c r="C15" t="s">
        <v>28</v>
      </c>
      <c r="D15" t="s">
        <v>111</v>
      </c>
      <c r="E15" s="4">
        <v>10</v>
      </c>
      <c r="F15" t="s">
        <v>106</v>
      </c>
      <c r="G15" t="s">
        <v>110</v>
      </c>
      <c r="H15" t="s">
        <v>229</v>
      </c>
      <c r="I15">
        <f>IFERROR(MATCH(A15,'Periods 26-25'!$C$2:$C$13,1),"")</f>
        <v>1</v>
      </c>
    </row>
    <row r="16" spans="1:9" x14ac:dyDescent="0.3">
      <c r="A16" s="82">
        <v>46014</v>
      </c>
      <c r="B16" t="s">
        <v>104</v>
      </c>
      <c r="C16" t="s">
        <v>241</v>
      </c>
      <c r="D16" t="s">
        <v>230</v>
      </c>
      <c r="E16" s="4">
        <v>6.47</v>
      </c>
      <c r="F16" t="s">
        <v>123</v>
      </c>
      <c r="G16" t="s">
        <v>222</v>
      </c>
      <c r="H16" t="s">
        <v>231</v>
      </c>
      <c r="I16">
        <f>IFERROR(MATCH(A16,'Periods 26-25'!$C$2:$C$13,1),"")</f>
        <v>1</v>
      </c>
    </row>
    <row r="17" spans="1:13" x14ac:dyDescent="0.3">
      <c r="A17" s="82">
        <v>46014</v>
      </c>
      <c r="B17" t="s">
        <v>104</v>
      </c>
      <c r="C17" t="s">
        <v>18</v>
      </c>
      <c r="D17" t="s">
        <v>232</v>
      </c>
      <c r="E17" s="4">
        <v>371</v>
      </c>
      <c r="F17" t="s">
        <v>106</v>
      </c>
      <c r="G17" t="s">
        <v>222</v>
      </c>
      <c r="H17" t="s">
        <v>233</v>
      </c>
      <c r="I17">
        <f>IFERROR(MATCH(A17,'Periods 26-25'!$C$2:$C$13,1),"")</f>
        <v>1</v>
      </c>
    </row>
    <row r="18" spans="1:13" x14ac:dyDescent="0.3">
      <c r="A18" s="82">
        <v>46014</v>
      </c>
      <c r="B18" t="s">
        <v>104</v>
      </c>
      <c r="C18" t="s">
        <v>21</v>
      </c>
      <c r="D18" t="s">
        <v>234</v>
      </c>
      <c r="E18" s="4">
        <v>100</v>
      </c>
      <c r="F18" t="s">
        <v>106</v>
      </c>
      <c r="G18" t="s">
        <v>222</v>
      </c>
      <c r="H18" t="s">
        <v>235</v>
      </c>
      <c r="I18">
        <f>IFERROR(MATCH(A18,'Periods 26-25'!$C$2:$C$13,1),"")</f>
        <v>1</v>
      </c>
    </row>
    <row r="19" spans="1:13" x14ac:dyDescent="0.3">
      <c r="A19" s="82">
        <v>46014</v>
      </c>
      <c r="B19" t="s">
        <v>104</v>
      </c>
      <c r="C19" t="s">
        <v>19</v>
      </c>
      <c r="D19" t="s">
        <v>236</v>
      </c>
      <c r="E19" s="4">
        <v>80</v>
      </c>
      <c r="F19" t="s">
        <v>106</v>
      </c>
      <c r="G19" t="s">
        <v>222</v>
      </c>
      <c r="H19" t="s">
        <v>237</v>
      </c>
      <c r="I19">
        <f>IFERROR(MATCH(A19,'Periods 26-25'!$C$2:$C$13,1),"")</f>
        <v>1</v>
      </c>
    </row>
    <row r="20" spans="1:13" x14ac:dyDescent="0.3">
      <c r="A20" s="82">
        <v>46014</v>
      </c>
      <c r="B20" t="s">
        <v>104</v>
      </c>
      <c r="C20" t="s">
        <v>19</v>
      </c>
      <c r="D20" t="s">
        <v>236</v>
      </c>
      <c r="E20" s="4">
        <v>60</v>
      </c>
      <c r="F20" t="s">
        <v>106</v>
      </c>
      <c r="G20" t="s">
        <v>222</v>
      </c>
      <c r="H20" t="s">
        <v>237</v>
      </c>
      <c r="I20">
        <f>IFERROR(MATCH(A20,'Periods 26-25'!$C$2:$C$13,1),"")</f>
        <v>1</v>
      </c>
    </row>
    <row r="21" spans="1:13" x14ac:dyDescent="0.3">
      <c r="A21" s="82">
        <v>46014</v>
      </c>
      <c r="B21" t="s">
        <v>104</v>
      </c>
      <c r="C21" t="s">
        <v>31</v>
      </c>
      <c r="D21" t="s">
        <v>239</v>
      </c>
      <c r="E21" s="4">
        <f>65+75</f>
        <v>140</v>
      </c>
      <c r="F21" t="s">
        <v>106</v>
      </c>
      <c r="G21" t="s">
        <v>222</v>
      </c>
      <c r="H21" t="s">
        <v>240</v>
      </c>
      <c r="I21">
        <f>IFERROR(MATCH(A21,'Periods 26-25'!$C$2:$C$13,1),"")</f>
        <v>1</v>
      </c>
    </row>
    <row r="22" spans="1:13" x14ac:dyDescent="0.3">
      <c r="A22" s="82">
        <v>46015</v>
      </c>
      <c r="B22" t="s">
        <v>172</v>
      </c>
      <c r="C22" t="s">
        <v>16</v>
      </c>
      <c r="D22" t="s">
        <v>242</v>
      </c>
      <c r="E22" s="4">
        <v>111.48</v>
      </c>
      <c r="F22" t="s">
        <v>106</v>
      </c>
      <c r="G22" t="s">
        <v>222</v>
      </c>
      <c r="H22" t="s">
        <v>243</v>
      </c>
      <c r="I22">
        <f>IFERROR(MATCH(A22,'Periods 26-25'!$C$2:$C$13,1),"")</f>
        <v>1</v>
      </c>
    </row>
    <row r="23" spans="1:13" x14ac:dyDescent="0.3">
      <c r="A23" s="82">
        <v>46015</v>
      </c>
      <c r="B23" t="s">
        <v>104</v>
      </c>
      <c r="C23" t="s">
        <v>18</v>
      </c>
      <c r="D23" t="s">
        <v>244</v>
      </c>
      <c r="E23" s="4">
        <v>12</v>
      </c>
      <c r="F23" t="s">
        <v>106</v>
      </c>
      <c r="G23" t="s">
        <v>222</v>
      </c>
      <c r="H23" t="s">
        <v>245</v>
      </c>
      <c r="I23">
        <f>IFERROR(MATCH(A23,'Periods 26-25'!$C$2:$C$13,1),"")</f>
        <v>1</v>
      </c>
    </row>
    <row r="24" spans="1:13" x14ac:dyDescent="0.3">
      <c r="A24" s="82">
        <v>46014</v>
      </c>
      <c r="B24" t="s">
        <v>104</v>
      </c>
      <c r="C24" t="s">
        <v>241</v>
      </c>
      <c r="D24" t="s">
        <v>246</v>
      </c>
      <c r="E24" s="4">
        <v>11.25</v>
      </c>
      <c r="F24" t="s">
        <v>106</v>
      </c>
      <c r="G24" t="s">
        <v>110</v>
      </c>
      <c r="H24" t="s">
        <v>247</v>
      </c>
      <c r="I24">
        <f>IFERROR(MATCH(A24,'Periods 26-25'!$C$2:$C$13,1),"")</f>
        <v>1</v>
      </c>
    </row>
    <row r="25" spans="1:13" x14ac:dyDescent="0.3">
      <c r="A25" s="82">
        <v>46013</v>
      </c>
      <c r="B25" t="s">
        <v>104</v>
      </c>
      <c r="C25" t="s">
        <v>250</v>
      </c>
      <c r="D25" t="s">
        <v>248</v>
      </c>
      <c r="E25" s="4">
        <v>295.20999999999998</v>
      </c>
      <c r="F25" t="s">
        <v>106</v>
      </c>
      <c r="G25" t="s">
        <v>110</v>
      </c>
      <c r="H25" t="s">
        <v>249</v>
      </c>
      <c r="I25">
        <f>IFERROR(MATCH(A25,'Periods 26-25'!$C$2:$C$13,1),"")</f>
        <v>1</v>
      </c>
      <c r="M25" s="92"/>
    </row>
    <row r="26" spans="1:13" x14ac:dyDescent="0.3">
      <c r="A26" s="82">
        <v>46013</v>
      </c>
      <c r="B26" t="s">
        <v>104</v>
      </c>
      <c r="C26" t="s">
        <v>20</v>
      </c>
      <c r="D26" t="s">
        <v>251</v>
      </c>
      <c r="E26" s="4">
        <v>50</v>
      </c>
      <c r="F26" t="s">
        <v>106</v>
      </c>
      <c r="G26" t="s">
        <v>222</v>
      </c>
      <c r="H26" t="s">
        <v>252</v>
      </c>
      <c r="I26">
        <f>IFERROR(MATCH(A26,'Periods 26-25'!$C$2:$C$13,1),"")</f>
        <v>1</v>
      </c>
    </row>
    <row r="27" spans="1:13" x14ac:dyDescent="0.3">
      <c r="A27" s="82">
        <v>46013</v>
      </c>
      <c r="B27" t="s">
        <v>104</v>
      </c>
      <c r="C27" t="s">
        <v>241</v>
      </c>
      <c r="D27" t="s">
        <v>255</v>
      </c>
      <c r="E27" s="4">
        <v>9</v>
      </c>
      <c r="F27" t="s">
        <v>106</v>
      </c>
      <c r="G27" t="s">
        <v>110</v>
      </c>
      <c r="H27" t="s">
        <v>256</v>
      </c>
      <c r="I27">
        <f>IFERROR(MATCH(A27,'Periods 26-25'!$C$2:$C$13,1),"")</f>
        <v>1</v>
      </c>
      <c r="M27" s="92"/>
    </row>
    <row r="28" spans="1:13" x14ac:dyDescent="0.3">
      <c r="A28" s="82">
        <v>46013</v>
      </c>
      <c r="B28" t="s">
        <v>104</v>
      </c>
      <c r="C28" t="s">
        <v>241</v>
      </c>
      <c r="D28" t="s">
        <v>257</v>
      </c>
      <c r="E28" s="4">
        <v>16.5</v>
      </c>
      <c r="F28" t="s">
        <v>106</v>
      </c>
      <c r="G28" t="s">
        <v>110</v>
      </c>
      <c r="H28" t="s">
        <v>258</v>
      </c>
      <c r="I28">
        <f>IFERROR(MATCH(A28,'Periods 26-25'!$C$2:$C$13,1),"")</f>
        <v>1</v>
      </c>
    </row>
    <row r="29" spans="1:13" x14ac:dyDescent="0.3">
      <c r="A29" s="82">
        <v>46015</v>
      </c>
      <c r="B29" t="s">
        <v>104</v>
      </c>
      <c r="C29" t="s">
        <v>39</v>
      </c>
      <c r="D29" t="s">
        <v>259</v>
      </c>
      <c r="E29" s="4">
        <v>457.37</v>
      </c>
      <c r="F29" t="s">
        <v>123</v>
      </c>
      <c r="G29" t="s">
        <v>222</v>
      </c>
      <c r="H29" t="s">
        <v>260</v>
      </c>
      <c r="I29">
        <f>IFERROR(MATCH(A29,'Periods 26-25'!$C$2:$C$13,1),"")</f>
        <v>1</v>
      </c>
    </row>
    <row r="30" spans="1:13" x14ac:dyDescent="0.3">
      <c r="A30" s="82">
        <v>46015</v>
      </c>
      <c r="B30" t="s">
        <v>104</v>
      </c>
      <c r="C30" t="s">
        <v>28</v>
      </c>
      <c r="D30" t="s">
        <v>109</v>
      </c>
      <c r="E30" s="4">
        <v>10</v>
      </c>
      <c r="F30" t="s">
        <v>106</v>
      </c>
      <c r="G30" t="s">
        <v>110</v>
      </c>
      <c r="H30" t="s">
        <v>262</v>
      </c>
      <c r="I30">
        <f>IFERROR(MATCH(A30,'Periods 26-25'!$C$2:$C$13,1),"")</f>
        <v>1</v>
      </c>
    </row>
    <row r="31" spans="1:13" x14ac:dyDescent="0.3">
      <c r="A31" s="82">
        <v>46015</v>
      </c>
      <c r="B31" t="s">
        <v>104</v>
      </c>
      <c r="C31" t="s">
        <v>241</v>
      </c>
      <c r="D31" t="s">
        <v>263</v>
      </c>
      <c r="E31" s="4">
        <v>7.78</v>
      </c>
      <c r="F31" t="s">
        <v>106</v>
      </c>
      <c r="G31" t="s">
        <v>110</v>
      </c>
      <c r="H31" t="s">
        <v>264</v>
      </c>
      <c r="I31">
        <f>IFERROR(MATCH(A31,'Periods 26-25'!$C$2:$C$13,1),"")</f>
        <v>1</v>
      </c>
    </row>
    <row r="32" spans="1:13" x14ac:dyDescent="0.3">
      <c r="A32" s="82">
        <v>46015</v>
      </c>
      <c r="B32" t="s">
        <v>104</v>
      </c>
      <c r="C32" t="s">
        <v>32</v>
      </c>
      <c r="D32" t="s">
        <v>265</v>
      </c>
      <c r="E32" s="4">
        <v>30.17</v>
      </c>
      <c r="F32" t="s">
        <v>106</v>
      </c>
      <c r="G32" t="s">
        <v>110</v>
      </c>
      <c r="H32" t="s">
        <v>266</v>
      </c>
      <c r="I32">
        <f>IFERROR(MATCH(A32,'Periods 26-25'!$C$2:$C$13,1),"")</f>
        <v>1</v>
      </c>
    </row>
    <row r="33" spans="1:9" x14ac:dyDescent="0.3">
      <c r="A33" s="82">
        <v>46017</v>
      </c>
      <c r="B33" t="s">
        <v>104</v>
      </c>
      <c r="C33" t="s">
        <v>30</v>
      </c>
      <c r="D33" t="s">
        <v>267</v>
      </c>
      <c r="E33" s="4">
        <v>29</v>
      </c>
      <c r="F33" t="s">
        <v>106</v>
      </c>
      <c r="G33" t="s">
        <v>222</v>
      </c>
      <c r="H33" t="s">
        <v>268</v>
      </c>
      <c r="I33">
        <f>IFERROR(MATCH(A33,'Periods 26-25'!$C$2:$C$13,1),"")</f>
        <v>1</v>
      </c>
    </row>
    <row r="34" spans="1:9" x14ac:dyDescent="0.3">
      <c r="A34" s="82">
        <v>46015</v>
      </c>
      <c r="B34" t="s">
        <v>104</v>
      </c>
      <c r="C34" t="s">
        <v>241</v>
      </c>
      <c r="D34" t="s">
        <v>269</v>
      </c>
      <c r="E34" s="4">
        <v>10.99</v>
      </c>
      <c r="F34" t="s">
        <v>123</v>
      </c>
      <c r="G34" t="s">
        <v>110</v>
      </c>
      <c r="H34" t="s">
        <v>270</v>
      </c>
      <c r="I34">
        <f>IFERROR(MATCH(A34,'Periods 26-25'!$C$2:$C$13,1),"")</f>
        <v>1</v>
      </c>
    </row>
    <row r="35" spans="1:9" x14ac:dyDescent="0.3">
      <c r="A35" s="82">
        <v>46017</v>
      </c>
      <c r="B35" t="s">
        <v>104</v>
      </c>
      <c r="C35" t="s">
        <v>28</v>
      </c>
      <c r="D35" t="s">
        <v>271</v>
      </c>
      <c r="E35" s="4">
        <v>10</v>
      </c>
      <c r="F35" t="s">
        <v>106</v>
      </c>
      <c r="G35" t="s">
        <v>110</v>
      </c>
      <c r="H35" t="s">
        <v>229</v>
      </c>
      <c r="I35">
        <f>IFERROR(MATCH(A35,'Periods 26-25'!$C$2:$C$13,1),"")</f>
        <v>1</v>
      </c>
    </row>
    <row r="36" spans="1:9" x14ac:dyDescent="0.3">
      <c r="A36" s="82">
        <v>46018</v>
      </c>
      <c r="B36" t="s">
        <v>104</v>
      </c>
      <c r="C36" t="s">
        <v>241</v>
      </c>
      <c r="D36" t="s">
        <v>272</v>
      </c>
      <c r="E36" s="4">
        <v>31.98</v>
      </c>
      <c r="F36" t="s">
        <v>106</v>
      </c>
      <c r="G36" t="s">
        <v>110</v>
      </c>
      <c r="H36" t="s">
        <v>272</v>
      </c>
      <c r="I36">
        <f>IFERROR(MATCH(A36,'Periods 26-25'!$C$2:$C$13,1),"")</f>
        <v>1</v>
      </c>
    </row>
    <row r="37" spans="1:9" x14ac:dyDescent="0.3">
      <c r="A37" s="82">
        <v>46019</v>
      </c>
      <c r="B37" t="s">
        <v>104</v>
      </c>
      <c r="C37" t="s">
        <v>241</v>
      </c>
      <c r="D37" t="s">
        <v>273</v>
      </c>
      <c r="E37" s="4">
        <v>16.3</v>
      </c>
      <c r="F37" t="s">
        <v>123</v>
      </c>
      <c r="G37" t="s">
        <v>110</v>
      </c>
      <c r="H37" t="s">
        <v>273</v>
      </c>
      <c r="I37">
        <f>IFERROR(MATCH(A37,'Periods 26-25'!$C$2:$C$13,1),"")</f>
        <v>1</v>
      </c>
    </row>
    <row r="38" spans="1:9" x14ac:dyDescent="0.3">
      <c r="A38" s="82">
        <v>46020</v>
      </c>
      <c r="B38" t="s">
        <v>104</v>
      </c>
      <c r="C38" t="s">
        <v>250</v>
      </c>
      <c r="D38" t="s">
        <v>275</v>
      </c>
      <c r="E38" s="4">
        <v>111.62</v>
      </c>
      <c r="F38" t="s">
        <v>106</v>
      </c>
      <c r="G38" t="s">
        <v>222</v>
      </c>
      <c r="H38" t="s">
        <v>275</v>
      </c>
      <c r="I38">
        <f>IFERROR(MATCH(A38,'Periods 26-25'!$C$2:$C$13,1),"")</f>
        <v>1</v>
      </c>
    </row>
    <row r="39" spans="1:9" x14ac:dyDescent="0.3">
      <c r="A39" s="82">
        <v>46020</v>
      </c>
      <c r="B39" t="s">
        <v>104</v>
      </c>
      <c r="C39" t="s">
        <v>250</v>
      </c>
      <c r="D39" t="s">
        <v>275</v>
      </c>
      <c r="E39" s="4">
        <v>32.090000000000003</v>
      </c>
      <c r="F39" t="s">
        <v>106</v>
      </c>
      <c r="G39" t="s">
        <v>222</v>
      </c>
      <c r="H39" t="s">
        <v>275</v>
      </c>
      <c r="I39">
        <f>IFERROR(MATCH(A39,'Periods 26-25'!$C$2:$C$13,1),"")</f>
        <v>1</v>
      </c>
    </row>
    <row r="40" spans="1:9" x14ac:dyDescent="0.3">
      <c r="A40" s="82">
        <v>46020</v>
      </c>
      <c r="B40" t="s">
        <v>104</v>
      </c>
      <c r="C40" t="s">
        <v>27</v>
      </c>
      <c r="D40" t="s">
        <v>276</v>
      </c>
      <c r="E40" s="4">
        <v>92.77</v>
      </c>
      <c r="F40" t="s">
        <v>106</v>
      </c>
      <c r="G40" t="s">
        <v>222</v>
      </c>
      <c r="H40" t="s">
        <v>276</v>
      </c>
      <c r="I40">
        <f>IFERROR(MATCH(A40,'Periods 26-25'!$C$2:$C$13,1),"")</f>
        <v>1</v>
      </c>
    </row>
    <row r="41" spans="1:9" x14ac:dyDescent="0.3">
      <c r="A41" s="82">
        <v>46020</v>
      </c>
      <c r="B41" t="s">
        <v>104</v>
      </c>
      <c r="C41" t="s">
        <v>29</v>
      </c>
      <c r="D41" s="95" t="s">
        <v>278</v>
      </c>
      <c r="E41" s="4">
        <v>36.83</v>
      </c>
      <c r="F41" s="96" t="s">
        <v>106</v>
      </c>
      <c r="G41" t="s">
        <v>222</v>
      </c>
      <c r="H41" s="95" t="s">
        <v>278</v>
      </c>
      <c r="I41">
        <f>IFERROR(MATCH(A41,'Periods 26-25'!$C$2:$C$13,1),"")</f>
        <v>1</v>
      </c>
    </row>
    <row r="42" spans="1:9" x14ac:dyDescent="0.3">
      <c r="A42" s="82">
        <v>46020</v>
      </c>
      <c r="B42" t="s">
        <v>104</v>
      </c>
      <c r="C42" t="s">
        <v>238</v>
      </c>
      <c r="D42" s="95" t="s">
        <v>277</v>
      </c>
      <c r="E42" s="4">
        <v>43</v>
      </c>
      <c r="F42" s="96" t="s">
        <v>106</v>
      </c>
      <c r="G42" t="s">
        <v>222</v>
      </c>
      <c r="H42" s="95" t="s">
        <v>277</v>
      </c>
      <c r="I42">
        <f>IFERROR(MATCH(A42,'Periods 26-25'!$C$2:$C$13,1),"")</f>
        <v>1</v>
      </c>
    </row>
    <row r="43" spans="1:9" x14ac:dyDescent="0.3">
      <c r="A43" s="82">
        <v>46020</v>
      </c>
      <c r="B43" t="s">
        <v>104</v>
      </c>
      <c r="C43" t="s">
        <v>241</v>
      </c>
      <c r="D43" s="95" t="s">
        <v>289</v>
      </c>
      <c r="E43" s="4">
        <v>10.199999999999999</v>
      </c>
      <c r="F43" s="96" t="s">
        <v>106</v>
      </c>
      <c r="G43" s="96" t="s">
        <v>110</v>
      </c>
      <c r="H43" s="96" t="s">
        <v>289</v>
      </c>
      <c r="I43">
        <f>IFERROR(MATCH(A43,'Periods 26-25'!$C$2:$C$13,1),"")</f>
        <v>1</v>
      </c>
    </row>
    <row r="44" spans="1:9" x14ac:dyDescent="0.3">
      <c r="A44" s="82">
        <v>46021</v>
      </c>
      <c r="B44" t="s">
        <v>104</v>
      </c>
      <c r="C44" t="s">
        <v>30</v>
      </c>
      <c r="D44" s="95" t="s">
        <v>290</v>
      </c>
      <c r="E44" s="4">
        <v>24.95</v>
      </c>
      <c r="F44" s="96" t="s">
        <v>106</v>
      </c>
      <c r="G44" s="96" t="s">
        <v>222</v>
      </c>
      <c r="H44" s="96" t="s">
        <v>291</v>
      </c>
      <c r="I44">
        <f>IFERROR(MATCH(A44,'Periods 26-25'!$C$2:$C$13,1),"")</f>
        <v>1</v>
      </c>
    </row>
    <row r="45" spans="1:9" x14ac:dyDescent="0.3">
      <c r="A45" s="82">
        <v>46020</v>
      </c>
      <c r="B45" t="s">
        <v>104</v>
      </c>
      <c r="C45" t="s">
        <v>22</v>
      </c>
      <c r="D45" s="95" t="s">
        <v>292</v>
      </c>
      <c r="E45" s="4">
        <v>34</v>
      </c>
      <c r="F45" s="96" t="s">
        <v>123</v>
      </c>
      <c r="G45" s="96" t="s">
        <v>222</v>
      </c>
      <c r="H45" s="96" t="s">
        <v>293</v>
      </c>
      <c r="I45">
        <f>IFERROR(MATCH(A45,'Periods 26-25'!$C$2:$C$13,1),"")</f>
        <v>1</v>
      </c>
    </row>
    <row r="46" spans="1:9" x14ac:dyDescent="0.3">
      <c r="A46" s="82">
        <v>46020</v>
      </c>
      <c r="B46" t="s">
        <v>104</v>
      </c>
      <c r="C46" t="s">
        <v>28</v>
      </c>
      <c r="D46" s="95" t="s">
        <v>109</v>
      </c>
      <c r="E46" s="4">
        <v>10</v>
      </c>
      <c r="F46" s="96" t="s">
        <v>106</v>
      </c>
      <c r="G46" s="96" t="s">
        <v>110</v>
      </c>
      <c r="H46" s="96" t="s">
        <v>262</v>
      </c>
      <c r="I46">
        <f>IFERROR(MATCH(A46,'Periods 26-25'!$C$2:$C$13,1),"")</f>
        <v>1</v>
      </c>
    </row>
    <row r="47" spans="1:9" x14ac:dyDescent="0.3">
      <c r="A47" s="82">
        <v>46020</v>
      </c>
      <c r="B47" t="s">
        <v>104</v>
      </c>
      <c r="C47" t="s">
        <v>28</v>
      </c>
      <c r="D47" s="95" t="s">
        <v>111</v>
      </c>
      <c r="E47" s="4">
        <v>10</v>
      </c>
      <c r="F47" s="96" t="s">
        <v>106</v>
      </c>
      <c r="G47" s="96" t="s">
        <v>110</v>
      </c>
      <c r="H47" s="96" t="s">
        <v>229</v>
      </c>
      <c r="I47">
        <f>IFERROR(MATCH(A47,'Periods 26-25'!$C$2:$C$13,1),"")</f>
        <v>1</v>
      </c>
    </row>
    <row r="48" spans="1:9" x14ac:dyDescent="0.3">
      <c r="D48" s="95"/>
      <c r="E48" s="4"/>
      <c r="H48" s="96"/>
      <c r="I48" t="str">
        <f>IFERROR(MATCH(A48,'Periods 26-25'!$C$2:$C$13,1),"")</f>
        <v/>
      </c>
    </row>
    <row r="49" spans="4:9" x14ac:dyDescent="0.3">
      <c r="D49" s="95"/>
      <c r="E49" s="4"/>
      <c r="H49" s="96"/>
      <c r="I49" t="str">
        <f>IFERROR(MATCH(A49,'Periods 26-25'!$C$2:$C$13,1),"")</f>
        <v/>
      </c>
    </row>
    <row r="50" spans="4:9" x14ac:dyDescent="0.3">
      <c r="D50" s="95"/>
      <c r="E50" s="4"/>
      <c r="H50" s="96"/>
      <c r="I50" t="str">
        <f>IFERROR(MATCH(A50,'Periods 26-25'!$C$2:$C$13,1),"")</f>
        <v/>
      </c>
    </row>
    <row r="51" spans="4:9" x14ac:dyDescent="0.3">
      <c r="D51" s="95"/>
      <c r="E51" s="4"/>
      <c r="H51" s="96"/>
      <c r="I51" t="str">
        <f>IFERROR(MATCH(A51,'Periods 26-25'!$C$2:$C$13,1),"")</f>
        <v/>
      </c>
    </row>
    <row r="52" spans="4:9" x14ac:dyDescent="0.3">
      <c r="D52" s="95"/>
      <c r="E52" s="4"/>
      <c r="H52" s="96"/>
      <c r="I52" t="str">
        <f>IFERROR(MATCH(A52,'Periods 26-25'!$C$2:$C$13,1),"")</f>
        <v/>
      </c>
    </row>
    <row r="53" spans="4:9" x14ac:dyDescent="0.3">
      <c r="D53" s="95"/>
      <c r="E53" s="4"/>
      <c r="H53" s="96"/>
      <c r="I53" t="str">
        <f>IFERROR(MATCH(A53,'Periods 26-25'!$C$2:$C$13,1),"")</f>
        <v/>
      </c>
    </row>
    <row r="54" spans="4:9" x14ac:dyDescent="0.3">
      <c r="D54" s="95"/>
      <c r="E54" s="4"/>
      <c r="H54" s="96"/>
      <c r="I54" t="str">
        <f>IFERROR(MATCH(A54,'Periods 26-25'!$C$2:$C$13,1),"")</f>
        <v/>
      </c>
    </row>
    <row r="55" spans="4:9" x14ac:dyDescent="0.3">
      <c r="D55" s="95"/>
      <c r="E55" s="4"/>
      <c r="H55" s="96"/>
      <c r="I55" t="str">
        <f>IFERROR(MATCH(A55,'Periods 26-25'!$C$2:$C$13,1),"")</f>
        <v/>
      </c>
    </row>
    <row r="56" spans="4:9" x14ac:dyDescent="0.3">
      <c r="D56" s="95"/>
      <c r="E56" s="4"/>
      <c r="H56" s="96"/>
      <c r="I56" t="str">
        <f>IFERROR(MATCH(A56,'Periods 26-25'!$C$2:$C$13,1),"")</f>
        <v/>
      </c>
    </row>
    <row r="57" spans="4:9" x14ac:dyDescent="0.3">
      <c r="D57" s="95"/>
      <c r="E57" s="4"/>
      <c r="H57" s="96"/>
      <c r="I57" t="str">
        <f>IFERROR(MATCH(A57,'Periods 26-25'!$C$2:$C$13,1),"")</f>
        <v/>
      </c>
    </row>
    <row r="58" spans="4:9" x14ac:dyDescent="0.3">
      <c r="D58" s="95"/>
      <c r="E58" s="4"/>
      <c r="H58" s="96"/>
      <c r="I58" t="str">
        <f>IFERROR(MATCH(A58,'Periods 26-25'!$C$2:$C$13,1),"")</f>
        <v/>
      </c>
    </row>
    <row r="59" spans="4:9" x14ac:dyDescent="0.3">
      <c r="D59" s="95"/>
      <c r="E59" s="4"/>
      <c r="H59" s="96"/>
      <c r="I59" t="str">
        <f>IFERROR(MATCH(A59,'Periods 26-25'!$C$2:$C$13,1),"")</f>
        <v/>
      </c>
    </row>
    <row r="60" spans="4:9" x14ac:dyDescent="0.3">
      <c r="D60" s="95"/>
      <c r="E60" s="4"/>
      <c r="H60" s="96"/>
      <c r="I60" t="str">
        <f>IFERROR(MATCH(A60,'Periods 26-25'!$C$2:$C$13,1),"")</f>
        <v/>
      </c>
    </row>
    <row r="61" spans="4:9" x14ac:dyDescent="0.3">
      <c r="D61" s="95"/>
      <c r="E61" s="4"/>
      <c r="H61" s="96"/>
      <c r="I61" t="str">
        <f>IFERROR(MATCH(A61,'Periods 26-25'!$C$2:$C$13,1),"")</f>
        <v/>
      </c>
    </row>
    <row r="62" spans="4:9" x14ac:dyDescent="0.3">
      <c r="D62" s="95"/>
      <c r="E62" s="4"/>
      <c r="H62" s="96"/>
      <c r="I62" t="str">
        <f>IFERROR(MATCH(A62,'Periods 26-25'!$C$2:$C$13,1),"")</f>
        <v/>
      </c>
    </row>
    <row r="63" spans="4:9" x14ac:dyDescent="0.3">
      <c r="D63" s="95"/>
      <c r="E63" s="4"/>
      <c r="H63" s="96"/>
      <c r="I63" t="str">
        <f>IFERROR(MATCH(A63,'Periods 26-25'!$C$2:$C$13,1),"")</f>
        <v/>
      </c>
    </row>
    <row r="64" spans="4:9" x14ac:dyDescent="0.3">
      <c r="D64" s="95"/>
      <c r="E64" s="4"/>
      <c r="H64" s="96"/>
      <c r="I64" t="str">
        <f>IFERROR(MATCH(A64,'Periods 26-25'!$C$2:$C$13,1),"")</f>
        <v/>
      </c>
    </row>
    <row r="65" spans="4:9" x14ac:dyDescent="0.3">
      <c r="D65" s="95"/>
      <c r="E65" s="4"/>
      <c r="H65" s="96"/>
      <c r="I65" t="str">
        <f>IFERROR(MATCH(A65,'Periods 26-25'!$C$2:$C$13,1),"")</f>
        <v/>
      </c>
    </row>
    <row r="66" spans="4:9" x14ac:dyDescent="0.3">
      <c r="D66" s="95"/>
      <c r="E66" s="4"/>
      <c r="H66" s="96"/>
      <c r="I66" t="str">
        <f>IFERROR(MATCH(A66,'Periods 26-25'!$C$2:$C$13,1),"")</f>
        <v/>
      </c>
    </row>
    <row r="67" spans="4:9" x14ac:dyDescent="0.3">
      <c r="E67" s="4"/>
    </row>
    <row r="68" spans="4:9" x14ac:dyDescent="0.3">
      <c r="E68" s="4"/>
      <c r="I68" t="str">
        <f>IFERROR(MATCH(A68,'Periods 26-25'!$C$2:$C$13,1),"")</f>
        <v/>
      </c>
    </row>
    <row r="69" spans="4:9" x14ac:dyDescent="0.3">
      <c r="E69" s="4"/>
      <c r="I69" t="str">
        <f>IFERROR(MATCH(A69,'Periods 26-25'!$C$2:$C$13,1),"")</f>
        <v/>
      </c>
    </row>
    <row r="70" spans="4:9" x14ac:dyDescent="0.3">
      <c r="E70" s="4"/>
      <c r="I70" t="str">
        <f>IFERROR(MATCH(A70,'Periods 26-25'!$C$2:$C$13,1),"")</f>
        <v/>
      </c>
    </row>
    <row r="71" spans="4:9" x14ac:dyDescent="0.3">
      <c r="E71" s="4"/>
      <c r="I71" t="str">
        <f>IFERROR(MATCH(A71,'Periods 26-25'!$C$2:$C$13,1),"")</f>
        <v/>
      </c>
    </row>
    <row r="72" spans="4:9" x14ac:dyDescent="0.3">
      <c r="E72" s="4"/>
      <c r="I72" t="str">
        <f>IFERROR(MATCH(A72,'Periods 26-25'!$C$2:$C$13,1),"")</f>
        <v/>
      </c>
    </row>
    <row r="73" spans="4:9" x14ac:dyDescent="0.3">
      <c r="E73" s="4"/>
      <c r="I73" t="str">
        <f>IFERROR(MATCH(A73,'Periods 26-25'!$C$2:$C$13,1),"")</f>
        <v/>
      </c>
    </row>
    <row r="74" spans="4:9" x14ac:dyDescent="0.3">
      <c r="E74" s="4"/>
      <c r="I74" t="str">
        <f>IFERROR(MATCH(A74,'Periods 26-25'!$C$2:$C$13,1),"")</f>
        <v/>
      </c>
    </row>
    <row r="75" spans="4:9" x14ac:dyDescent="0.3">
      <c r="E75" s="4"/>
      <c r="I75" t="str">
        <f>IFERROR(MATCH(A75,'Periods 26-25'!$C$2:$C$13,1),"")</f>
        <v/>
      </c>
    </row>
    <row r="76" spans="4:9" x14ac:dyDescent="0.3">
      <c r="E76" s="4"/>
      <c r="I76" t="str">
        <f>IFERROR(MATCH(A76,'Periods 26-25'!$C$2:$C$13,1),"")</f>
        <v/>
      </c>
    </row>
    <row r="77" spans="4:9" x14ac:dyDescent="0.3">
      <c r="E77" s="4"/>
      <c r="I77" t="str">
        <f>IFERROR(MATCH(A77,'Periods 26-25'!$C$2:$C$13,1),"")</f>
        <v/>
      </c>
    </row>
    <row r="78" spans="4:9" x14ac:dyDescent="0.3">
      <c r="E78" s="4"/>
      <c r="I78" t="str">
        <f>IFERROR(MATCH(A78,'Periods 26-25'!$C$2:$C$13,1),"")</f>
        <v/>
      </c>
    </row>
    <row r="79" spans="4:9" x14ac:dyDescent="0.3">
      <c r="E79" s="4"/>
      <c r="I79" t="str">
        <f>IFERROR(MATCH(A79,'Periods 26-25'!$C$2:$C$13,1),"")</f>
        <v/>
      </c>
    </row>
    <row r="80" spans="4:9" x14ac:dyDescent="0.3">
      <c r="E80" s="4"/>
      <c r="I80" t="str">
        <f>IFERROR(MATCH(A80,'Periods 26-25'!$C$2:$C$13,1),"")</f>
        <v/>
      </c>
    </row>
    <row r="81" spans="5:9" x14ac:dyDescent="0.3">
      <c r="E81" s="4"/>
      <c r="I81" t="str">
        <f>IFERROR(MATCH(A81,'Periods 26-25'!$C$2:$C$13,1),"")</f>
        <v/>
      </c>
    </row>
    <row r="82" spans="5:9" x14ac:dyDescent="0.3">
      <c r="E82" s="4"/>
      <c r="I82" t="str">
        <f>IFERROR(MATCH(A82,'Periods 26-25'!$C$2:$C$13,1),"")</f>
        <v/>
      </c>
    </row>
    <row r="83" spans="5:9" x14ac:dyDescent="0.3">
      <c r="E83" s="4"/>
      <c r="I83" t="str">
        <f>IFERROR(MATCH(A83,'Periods 26-25'!$C$2:$C$13,1),"")</f>
        <v/>
      </c>
    </row>
    <row r="84" spans="5:9" x14ac:dyDescent="0.3">
      <c r="E84" s="4"/>
      <c r="I84" t="str">
        <f>IFERROR(MATCH(A84,'Periods 26-25'!$C$2:$C$13,1),"")</f>
        <v/>
      </c>
    </row>
    <row r="85" spans="5:9" x14ac:dyDescent="0.3">
      <c r="E85" s="4"/>
      <c r="I85" t="str">
        <f>IFERROR(MATCH(A85,'Periods 26-25'!$C$2:$C$13,1),"")</f>
        <v/>
      </c>
    </row>
    <row r="86" spans="5:9" x14ac:dyDescent="0.3">
      <c r="E86" s="4"/>
      <c r="I86" t="str">
        <f>IFERROR(MATCH(A86,'Periods 26-25'!$C$2:$C$13,1),"")</f>
        <v/>
      </c>
    </row>
    <row r="87" spans="5:9" x14ac:dyDescent="0.3">
      <c r="E87" s="4"/>
      <c r="I87" t="str">
        <f>IFERROR(MATCH(A87,'Periods 26-25'!$C$2:$C$13,1),"")</f>
        <v/>
      </c>
    </row>
    <row r="88" spans="5:9" x14ac:dyDescent="0.3">
      <c r="E88" s="4"/>
      <c r="I88" t="str">
        <f>IFERROR(MATCH(A88,'Periods 26-25'!$C$2:$C$13,1),"")</f>
        <v/>
      </c>
    </row>
    <row r="89" spans="5:9" x14ac:dyDescent="0.3">
      <c r="E89" s="4"/>
      <c r="I89" t="str">
        <f>IFERROR(MATCH(A89,'Periods 26-25'!$C$2:$C$13,1),"")</f>
        <v/>
      </c>
    </row>
    <row r="90" spans="5:9" x14ac:dyDescent="0.3">
      <c r="E90" s="4"/>
      <c r="I90" t="str">
        <f>IFERROR(MATCH(A90,'Periods 26-25'!$C$2:$C$13,1),"")</f>
        <v/>
      </c>
    </row>
    <row r="91" spans="5:9" x14ac:dyDescent="0.3">
      <c r="E91" s="4"/>
      <c r="I91" t="str">
        <f>IFERROR(MATCH(A91,'Periods 26-25'!$C$2:$C$13,1),"")</f>
        <v/>
      </c>
    </row>
    <row r="92" spans="5:9" x14ac:dyDescent="0.3">
      <c r="E92" s="4"/>
      <c r="I92" t="str">
        <f>IFERROR(MATCH(A92,'Periods 26-25'!$C$2:$C$13,1),"")</f>
        <v/>
      </c>
    </row>
    <row r="93" spans="5:9" x14ac:dyDescent="0.3">
      <c r="E93" s="4"/>
      <c r="I93" t="str">
        <f>IFERROR(MATCH(A93,'Periods 26-25'!$C$2:$C$13,1),"")</f>
        <v/>
      </c>
    </row>
    <row r="94" spans="5:9" x14ac:dyDescent="0.3">
      <c r="E94" s="4"/>
      <c r="I94" t="str">
        <f>IFERROR(MATCH(A94,'Periods 26-25'!$C$2:$C$13,1),"")</f>
        <v/>
      </c>
    </row>
    <row r="95" spans="5:9" x14ac:dyDescent="0.3">
      <c r="E95" s="4"/>
      <c r="I95" t="str">
        <f>IFERROR(MATCH(A95,'Periods 26-25'!$C$2:$C$13,1),"")</f>
        <v/>
      </c>
    </row>
    <row r="96" spans="5:9" x14ac:dyDescent="0.3">
      <c r="E96" s="4"/>
      <c r="I96" t="str">
        <f>IFERROR(MATCH(A96,'Periods 26-25'!$C$2:$C$13,1),"")</f>
        <v/>
      </c>
    </row>
    <row r="97" spans="5:9" x14ac:dyDescent="0.3">
      <c r="E97" s="4"/>
      <c r="I97" t="str">
        <f>IFERROR(MATCH(A97,'Periods 26-25'!$C$2:$C$13,1),"")</f>
        <v/>
      </c>
    </row>
    <row r="98" spans="5:9" x14ac:dyDescent="0.3">
      <c r="E98" s="4"/>
      <c r="I98" t="str">
        <f>IFERROR(MATCH(A98,'Periods 26-25'!$C$2:$C$13,1),"")</f>
        <v/>
      </c>
    </row>
    <row r="99" spans="5:9" x14ac:dyDescent="0.3">
      <c r="E99" s="4"/>
      <c r="I99" t="str">
        <f>IFERROR(MATCH(A99,'Periods 26-25'!$C$2:$C$13,1),"")</f>
        <v/>
      </c>
    </row>
    <row r="100" spans="5:9" x14ac:dyDescent="0.3">
      <c r="E100" s="4"/>
      <c r="I100" t="str">
        <f>IFERROR(MATCH(A100,'Periods 26-25'!$C$2:$C$13,1),"")</f>
        <v/>
      </c>
    </row>
    <row r="101" spans="5:9" x14ac:dyDescent="0.3">
      <c r="E101" s="4"/>
      <c r="I101" t="str">
        <f>IFERROR(MATCH(A101,'Periods 26-25'!$C$2:$C$13,1),"")</f>
        <v/>
      </c>
    </row>
    <row r="102" spans="5:9" x14ac:dyDescent="0.3">
      <c r="E102" s="4"/>
      <c r="I102" t="str">
        <f>IFERROR(MATCH(A102,'Periods 26-25'!$C$2:$C$13,1),"")</f>
        <v/>
      </c>
    </row>
    <row r="103" spans="5:9" x14ac:dyDescent="0.3">
      <c r="E103" s="4"/>
      <c r="I103" t="str">
        <f>IFERROR(MATCH(A103,'Periods 26-25'!$C$2:$C$13,1),"")</f>
        <v/>
      </c>
    </row>
    <row r="104" spans="5:9" x14ac:dyDescent="0.3">
      <c r="E104" s="4"/>
      <c r="I104" t="str">
        <f>IFERROR(MATCH(A104,'Periods 26-25'!$C$2:$C$13,1),"")</f>
        <v/>
      </c>
    </row>
    <row r="105" spans="5:9" x14ac:dyDescent="0.3">
      <c r="E105" s="4"/>
      <c r="I105" t="str">
        <f>IFERROR(MATCH(A105,'Periods 26-25'!$C$2:$C$13,1),"")</f>
        <v/>
      </c>
    </row>
    <row r="106" spans="5:9" x14ac:dyDescent="0.3">
      <c r="E106" s="4"/>
      <c r="I106" t="str">
        <f>IFERROR(MATCH(A106,'Periods 26-25'!$C$2:$C$13,1),"")</f>
        <v/>
      </c>
    </row>
    <row r="107" spans="5:9" x14ac:dyDescent="0.3">
      <c r="E107" s="4"/>
      <c r="I107" t="str">
        <f>IFERROR(MATCH(A107,'Periods 26-25'!$C$2:$C$13,1),"")</f>
        <v/>
      </c>
    </row>
    <row r="108" spans="5:9" x14ac:dyDescent="0.3">
      <c r="E108" s="4"/>
      <c r="I108" t="str">
        <f>IFERROR(MATCH(A108,'Periods 26-25'!$C$2:$C$13,1),"")</f>
        <v/>
      </c>
    </row>
    <row r="109" spans="5:9" x14ac:dyDescent="0.3">
      <c r="E109" s="4"/>
      <c r="I109" t="str">
        <f>IFERROR(MATCH(A109,'Periods 26-25'!$C$2:$C$13,1),"")</f>
        <v/>
      </c>
    </row>
    <row r="110" spans="5:9" x14ac:dyDescent="0.3">
      <c r="E110" s="4"/>
      <c r="I110" t="str">
        <f>IFERROR(MATCH(A110,'Periods 26-25'!$C$2:$C$13,1),"")</f>
        <v/>
      </c>
    </row>
    <row r="111" spans="5:9" x14ac:dyDescent="0.3">
      <c r="E111" s="4"/>
      <c r="I111" t="str">
        <f>IFERROR(MATCH(A111,'Periods 26-25'!$C$2:$C$13,1),"")</f>
        <v/>
      </c>
    </row>
    <row r="112" spans="5:9" x14ac:dyDescent="0.3">
      <c r="E112" s="4"/>
      <c r="I112" t="str">
        <f>IFERROR(MATCH(A112,'Periods 26-25'!$C$2:$C$13,1),"")</f>
        <v/>
      </c>
    </row>
    <row r="113" spans="5:9" x14ac:dyDescent="0.3">
      <c r="E113" s="4"/>
      <c r="I113" t="str">
        <f>IFERROR(MATCH(A113,'Periods 26-25'!$C$2:$C$13,1),"")</f>
        <v/>
      </c>
    </row>
    <row r="114" spans="5:9" x14ac:dyDescent="0.3">
      <c r="E114" s="4"/>
      <c r="I114" t="str">
        <f>IFERROR(MATCH(A114,'Periods 26-25'!$C$2:$C$13,1),"")</f>
        <v/>
      </c>
    </row>
    <row r="115" spans="5:9" x14ac:dyDescent="0.3">
      <c r="E115" s="4"/>
      <c r="I115" t="str">
        <f>IFERROR(MATCH(A115,'Periods 26-25'!$C$2:$C$13,1),"")</f>
        <v/>
      </c>
    </row>
    <row r="116" spans="5:9" x14ac:dyDescent="0.3">
      <c r="E116" s="4"/>
      <c r="I116" t="str">
        <f>IFERROR(MATCH(A116,'Periods 26-25'!$C$2:$C$13,1),"")</f>
        <v/>
      </c>
    </row>
    <row r="117" spans="5:9" x14ac:dyDescent="0.3">
      <c r="E117" s="4"/>
      <c r="I117" t="str">
        <f>IFERROR(MATCH(A117,'Periods 26-25'!$C$2:$C$13,1),"")</f>
        <v/>
      </c>
    </row>
    <row r="118" spans="5:9" x14ac:dyDescent="0.3">
      <c r="E118" s="4"/>
      <c r="I118" t="str">
        <f>IFERROR(MATCH(A118,'Periods 26-25'!$C$2:$C$13,1),"")</f>
        <v/>
      </c>
    </row>
    <row r="119" spans="5:9" x14ac:dyDescent="0.3">
      <c r="E119" s="4"/>
      <c r="I119" t="str">
        <f>IFERROR(MATCH(A119,'Periods 26-25'!$C$2:$C$13,1),"")</f>
        <v/>
      </c>
    </row>
    <row r="120" spans="5:9" x14ac:dyDescent="0.3">
      <c r="E120" s="4"/>
      <c r="I120" t="str">
        <f>IFERROR(MATCH(A120,'Periods 26-25'!$C$2:$C$13,1),"")</f>
        <v/>
      </c>
    </row>
    <row r="121" spans="5:9" x14ac:dyDescent="0.3">
      <c r="E121" s="4"/>
      <c r="I121" t="str">
        <f>IFERROR(MATCH(A121,'Periods 26-25'!$C$2:$C$13,1),"")</f>
        <v/>
      </c>
    </row>
    <row r="122" spans="5:9" x14ac:dyDescent="0.3">
      <c r="E122" s="4"/>
      <c r="I122" t="str">
        <f>IFERROR(MATCH(A122,'Periods 26-25'!$C$2:$C$13,1),"")</f>
        <v/>
      </c>
    </row>
    <row r="123" spans="5:9" x14ac:dyDescent="0.3">
      <c r="E123" s="4"/>
      <c r="I123" t="str">
        <f>IFERROR(MATCH(A123,'Periods 26-25'!$C$2:$C$13,1),"")</f>
        <v/>
      </c>
    </row>
    <row r="124" spans="5:9" x14ac:dyDescent="0.3">
      <c r="E124" s="4"/>
      <c r="I124" t="str">
        <f>IFERROR(MATCH(A124,'Periods 26-25'!$C$2:$C$13,1),"")</f>
        <v/>
      </c>
    </row>
    <row r="125" spans="5:9" x14ac:dyDescent="0.3">
      <c r="E125" s="4"/>
      <c r="I125" t="str">
        <f>IFERROR(MATCH(A125,'Periods 26-25'!$C$2:$C$13,1),"")</f>
        <v/>
      </c>
    </row>
    <row r="126" spans="5:9" x14ac:dyDescent="0.3">
      <c r="E126" s="4"/>
      <c r="I126" t="str">
        <f>IFERROR(MATCH(A126,'Periods 26-25'!$C$2:$C$13,1),"")</f>
        <v/>
      </c>
    </row>
    <row r="127" spans="5:9" x14ac:dyDescent="0.3">
      <c r="E127" s="4"/>
      <c r="I127" t="str">
        <f>IFERROR(MATCH(A127,'Periods 26-25'!$C$2:$C$13,1),"")</f>
        <v/>
      </c>
    </row>
    <row r="128" spans="5:9" x14ac:dyDescent="0.3">
      <c r="E128" s="4"/>
      <c r="I128" t="str">
        <f>IFERROR(MATCH(A128,'Periods 26-25'!$C$2:$C$13,1),"")</f>
        <v/>
      </c>
    </row>
    <row r="129" spans="5:9" x14ac:dyDescent="0.3">
      <c r="E129" s="4"/>
      <c r="I129" t="str">
        <f>IFERROR(MATCH(A129,'Periods 26-25'!$C$2:$C$13,1),"")</f>
        <v/>
      </c>
    </row>
    <row r="130" spans="5:9" x14ac:dyDescent="0.3">
      <c r="E130" s="4"/>
      <c r="I130" t="str">
        <f>IFERROR(MATCH(A130,'Periods 26-25'!$C$2:$C$13,1),"")</f>
        <v/>
      </c>
    </row>
    <row r="131" spans="5:9" x14ac:dyDescent="0.3">
      <c r="E131" s="4"/>
      <c r="I131" t="str">
        <f>IFERROR(MATCH(A131,'Periods 26-25'!$C$2:$C$13,1),"")</f>
        <v/>
      </c>
    </row>
    <row r="132" spans="5:9" x14ac:dyDescent="0.3">
      <c r="E132" s="4"/>
      <c r="I132" t="str">
        <f>IFERROR(MATCH(A132,'Periods 26-25'!$C$2:$C$13,1),"")</f>
        <v/>
      </c>
    </row>
    <row r="133" spans="5:9" x14ac:dyDescent="0.3">
      <c r="E133" s="4"/>
      <c r="I133" t="str">
        <f>IFERROR(MATCH(A133,'Periods 26-25'!$C$2:$C$13,1),"")</f>
        <v/>
      </c>
    </row>
    <row r="134" spans="5:9" x14ac:dyDescent="0.3">
      <c r="E134" s="4"/>
      <c r="I134" t="str">
        <f>IFERROR(MATCH(A134,'Periods 26-25'!$C$2:$C$13,1),"")</f>
        <v/>
      </c>
    </row>
    <row r="135" spans="5:9" x14ac:dyDescent="0.3">
      <c r="E135" s="4"/>
      <c r="I135" t="str">
        <f>IFERROR(MATCH(A135,'Periods 26-25'!$C$2:$C$13,1),"")</f>
        <v/>
      </c>
    </row>
    <row r="136" spans="5:9" x14ac:dyDescent="0.3">
      <c r="E136" s="4"/>
      <c r="I136" t="str">
        <f>IFERROR(MATCH(A136,'Periods 26-25'!$C$2:$C$13,1),"")</f>
        <v/>
      </c>
    </row>
    <row r="137" spans="5:9" x14ac:dyDescent="0.3">
      <c r="E137" s="4"/>
      <c r="I137" t="str">
        <f>IFERROR(MATCH(A137,'Periods 26-25'!$C$2:$C$13,1),"")</f>
        <v/>
      </c>
    </row>
    <row r="138" spans="5:9" x14ac:dyDescent="0.3">
      <c r="E138" s="4"/>
      <c r="I138" t="str">
        <f>IFERROR(MATCH(A138,'Periods 26-25'!$C$2:$C$13,1),"")</f>
        <v/>
      </c>
    </row>
    <row r="139" spans="5:9" x14ac:dyDescent="0.3">
      <c r="E139" s="4"/>
      <c r="I139" t="str">
        <f>IFERROR(MATCH(A139,'Periods 26-25'!$C$2:$C$13,1),"")</f>
        <v/>
      </c>
    </row>
    <row r="140" spans="5:9" x14ac:dyDescent="0.3">
      <c r="E140" s="4"/>
      <c r="I140" t="str">
        <f>IFERROR(MATCH(A140,'Periods 26-25'!$C$2:$C$13,1),"")</f>
        <v/>
      </c>
    </row>
    <row r="141" spans="5:9" x14ac:dyDescent="0.3">
      <c r="E141" s="4"/>
      <c r="I141" t="str">
        <f>IFERROR(MATCH(A141,'Periods 26-25'!$C$2:$C$13,1),"")</f>
        <v/>
      </c>
    </row>
    <row r="142" spans="5:9" x14ac:dyDescent="0.3">
      <c r="E142" s="4"/>
      <c r="I142" t="str">
        <f>IFERROR(MATCH(A142,'Periods 26-25'!$C$2:$C$13,1),"")</f>
        <v/>
      </c>
    </row>
    <row r="143" spans="5:9" x14ac:dyDescent="0.3">
      <c r="E143" s="4"/>
      <c r="I143" t="str">
        <f>IFERROR(MATCH(A143,'Periods 26-25'!$C$2:$C$13,1),"")</f>
        <v/>
      </c>
    </row>
    <row r="144" spans="5:9" x14ac:dyDescent="0.3">
      <c r="E144" s="4"/>
      <c r="I144" t="str">
        <f>IFERROR(MATCH(A144,'Periods 26-25'!$C$2:$C$13,1),"")</f>
        <v/>
      </c>
    </row>
    <row r="145" spans="5:9" x14ac:dyDescent="0.3">
      <c r="E145" s="4"/>
      <c r="I145" t="str">
        <f>IFERROR(MATCH(A145,'Periods 26-25'!$C$2:$C$13,1),"")</f>
        <v/>
      </c>
    </row>
    <row r="146" spans="5:9" x14ac:dyDescent="0.3">
      <c r="E146" s="4"/>
      <c r="I146" t="str">
        <f>IFERROR(MATCH(A146,'Periods 26-25'!$C$2:$C$13,1),"")</f>
        <v/>
      </c>
    </row>
    <row r="147" spans="5:9" x14ac:dyDescent="0.3">
      <c r="E147" s="4"/>
      <c r="I147" t="str">
        <f>IFERROR(MATCH(A147,'Periods 26-25'!$C$2:$C$13,1),"")</f>
        <v/>
      </c>
    </row>
    <row r="148" spans="5:9" x14ac:dyDescent="0.3">
      <c r="E148" s="4"/>
      <c r="I148" t="str">
        <f>IFERROR(MATCH(A148,'Periods 26-25'!$C$2:$C$13,1),"")</f>
        <v/>
      </c>
    </row>
    <row r="149" spans="5:9" x14ac:dyDescent="0.3">
      <c r="E149" s="4"/>
      <c r="I149" t="str">
        <f>IFERROR(MATCH(A149,'Periods 26-25'!$C$2:$C$13,1),"")</f>
        <v/>
      </c>
    </row>
    <row r="150" spans="5:9" x14ac:dyDescent="0.3">
      <c r="E150" s="4"/>
      <c r="I150" t="str">
        <f>IFERROR(MATCH(A150,'Periods 26-25'!$C$2:$C$13,1),"")</f>
        <v/>
      </c>
    </row>
    <row r="151" spans="5:9" x14ac:dyDescent="0.3">
      <c r="E151" s="4"/>
      <c r="I151" t="str">
        <f>IFERROR(MATCH(A151,'Periods 26-25'!$C$2:$C$13,1),"")</f>
        <v/>
      </c>
    </row>
    <row r="152" spans="5:9" x14ac:dyDescent="0.3">
      <c r="E152" s="4"/>
      <c r="I152" t="str">
        <f>IFERROR(MATCH(A152,'Periods 26-25'!$C$2:$C$13,1),"")</f>
        <v/>
      </c>
    </row>
    <row r="153" spans="5:9" x14ac:dyDescent="0.3">
      <c r="E153" s="4"/>
      <c r="I153" t="str">
        <f>IFERROR(MATCH(A153,'Periods 26-25'!$C$2:$C$13,1),"")</f>
        <v/>
      </c>
    </row>
    <row r="154" spans="5:9" x14ac:dyDescent="0.3">
      <c r="E154" s="4"/>
      <c r="I154" t="str">
        <f>IFERROR(MATCH(A154,'Periods 26-25'!$C$2:$C$13,1),"")</f>
        <v/>
      </c>
    </row>
    <row r="155" spans="5:9" x14ac:dyDescent="0.3">
      <c r="E155" s="4"/>
      <c r="I155" t="str">
        <f>IFERROR(MATCH(A155,'Periods 26-25'!$C$2:$C$13,1),"")</f>
        <v/>
      </c>
    </row>
    <row r="156" spans="5:9" x14ac:dyDescent="0.3">
      <c r="E156" s="4"/>
      <c r="I156" t="str">
        <f>IFERROR(MATCH(A156,'Periods 26-25'!$C$2:$C$13,1),"")</f>
        <v/>
      </c>
    </row>
    <row r="157" spans="5:9" x14ac:dyDescent="0.3">
      <c r="E157" s="4"/>
      <c r="I157" t="str">
        <f>IFERROR(MATCH(A157,'Periods 26-25'!$C$2:$C$13,1),"")</f>
        <v/>
      </c>
    </row>
    <row r="158" spans="5:9" x14ac:dyDescent="0.3">
      <c r="E158" s="4"/>
      <c r="I158" t="str">
        <f>IFERROR(MATCH(A158,'Periods 26-25'!$C$2:$C$13,1),"")</f>
        <v/>
      </c>
    </row>
    <row r="159" spans="5:9" x14ac:dyDescent="0.3">
      <c r="E159" s="4"/>
      <c r="I159" t="str">
        <f>IFERROR(MATCH(A159,'Periods 26-25'!$C$2:$C$13,1),"")</f>
        <v/>
      </c>
    </row>
    <row r="160" spans="5:9" x14ac:dyDescent="0.3">
      <c r="E160" s="4"/>
      <c r="I160" t="str">
        <f>IFERROR(MATCH(A160,'Periods 26-25'!$C$2:$C$13,1),"")</f>
        <v/>
      </c>
    </row>
    <row r="161" spans="5:9" x14ac:dyDescent="0.3">
      <c r="E161" s="4"/>
      <c r="I161" t="str">
        <f>IFERROR(MATCH(A161,'Periods 26-25'!$C$2:$C$13,1),"")</f>
        <v/>
      </c>
    </row>
    <row r="162" spans="5:9" x14ac:dyDescent="0.3">
      <c r="E162" s="4"/>
      <c r="I162" t="str">
        <f>IFERROR(MATCH(A162,'Periods 26-25'!$C$2:$C$13,1),"")</f>
        <v/>
      </c>
    </row>
    <row r="163" spans="5:9" x14ac:dyDescent="0.3">
      <c r="E163" s="4"/>
      <c r="I163" t="str">
        <f>IFERROR(MATCH(A163,'Periods 26-25'!$C$2:$C$13,1),"")</f>
        <v/>
      </c>
    </row>
    <row r="164" spans="5:9" x14ac:dyDescent="0.3">
      <c r="E164" s="4"/>
      <c r="I164" t="str">
        <f>IFERROR(MATCH(A164,'Periods 26-25'!$C$2:$C$13,1),"")</f>
        <v/>
      </c>
    </row>
    <row r="165" spans="5:9" x14ac:dyDescent="0.3">
      <c r="E165" s="4"/>
      <c r="I165" t="str">
        <f>IFERROR(MATCH(A165,'Periods 26-25'!$C$2:$C$13,1),"")</f>
        <v/>
      </c>
    </row>
    <row r="166" spans="5:9" x14ac:dyDescent="0.3">
      <c r="E166" s="4"/>
      <c r="I166" t="str">
        <f>IFERROR(MATCH(A166,'Periods 26-25'!$C$2:$C$13,1),"")</f>
        <v/>
      </c>
    </row>
    <row r="167" spans="5:9" x14ac:dyDescent="0.3">
      <c r="E167" s="4"/>
      <c r="I167" t="str">
        <f>IFERROR(MATCH(A167,'Periods 26-25'!$C$2:$C$13,1),"")</f>
        <v/>
      </c>
    </row>
    <row r="168" spans="5:9" x14ac:dyDescent="0.3">
      <c r="E168" s="4"/>
      <c r="I168" t="str">
        <f>IFERROR(MATCH(A168,'Periods 26-25'!$C$2:$C$13,1),"")</f>
        <v/>
      </c>
    </row>
    <row r="169" spans="5:9" x14ac:dyDescent="0.3">
      <c r="E169" s="4"/>
      <c r="I169" t="str">
        <f>IFERROR(MATCH(A169,'Periods 26-25'!$C$2:$C$13,1),"")</f>
        <v/>
      </c>
    </row>
    <row r="170" spans="5:9" x14ac:dyDescent="0.3">
      <c r="E170" s="4"/>
      <c r="I170" t="str">
        <f>IFERROR(MATCH(A170,'Periods 26-25'!$C$2:$C$13,1),"")</f>
        <v/>
      </c>
    </row>
    <row r="171" spans="5:9" x14ac:dyDescent="0.3">
      <c r="E171" s="4"/>
      <c r="I171" t="str">
        <f>IFERROR(MATCH(A171,'Periods 26-25'!$C$2:$C$13,1),"")</f>
        <v/>
      </c>
    </row>
    <row r="172" spans="5:9" x14ac:dyDescent="0.3">
      <c r="E172" s="4"/>
      <c r="I172" t="str">
        <f>IFERROR(MATCH(A172,'Periods 26-25'!$C$2:$C$13,1),"")</f>
        <v/>
      </c>
    </row>
    <row r="173" spans="5:9" x14ac:dyDescent="0.3">
      <c r="E173" s="4"/>
      <c r="I173" t="str">
        <f>IFERROR(MATCH(A173,'Periods 26-25'!$C$2:$C$13,1),"")</f>
        <v/>
      </c>
    </row>
    <row r="174" spans="5:9" x14ac:dyDescent="0.3">
      <c r="E174" s="4"/>
      <c r="I174" t="str">
        <f>IFERROR(MATCH(A174,'Periods 26-25'!$C$2:$C$13,1),"")</f>
        <v/>
      </c>
    </row>
    <row r="175" spans="5:9" x14ac:dyDescent="0.3">
      <c r="E175" s="4"/>
      <c r="I175" t="str">
        <f>IFERROR(MATCH(A175,'Periods 26-25'!$C$2:$C$13,1),"")</f>
        <v/>
      </c>
    </row>
    <row r="176" spans="5:9" x14ac:dyDescent="0.3">
      <c r="E176" s="4"/>
      <c r="I176" t="str">
        <f>IFERROR(MATCH(A176,'Periods 26-25'!$C$2:$C$13,1),"")</f>
        <v/>
      </c>
    </row>
    <row r="177" spans="5:9" x14ac:dyDescent="0.3">
      <c r="E177" s="4"/>
      <c r="I177" t="str">
        <f>IFERROR(MATCH(A177,'Periods 26-25'!$C$2:$C$13,1),"")</f>
        <v/>
      </c>
    </row>
    <row r="178" spans="5:9" x14ac:dyDescent="0.3">
      <c r="E178" s="4"/>
      <c r="I178" t="str">
        <f>IFERROR(MATCH(A178,'Periods 26-25'!$C$2:$C$13,1),"")</f>
        <v/>
      </c>
    </row>
    <row r="179" spans="5:9" x14ac:dyDescent="0.3">
      <c r="E179" s="4"/>
      <c r="I179" t="str">
        <f>IFERROR(MATCH(A179,'Periods 26-25'!$C$2:$C$13,1),"")</f>
        <v/>
      </c>
    </row>
    <row r="180" spans="5:9" x14ac:dyDescent="0.3">
      <c r="E180" s="4"/>
      <c r="I180" t="str">
        <f>IFERROR(MATCH(A180,'Periods 26-25'!$C$2:$C$13,1),"")</f>
        <v/>
      </c>
    </row>
    <row r="181" spans="5:9" x14ac:dyDescent="0.3">
      <c r="E181" s="4"/>
      <c r="I181" t="str">
        <f>IFERROR(MATCH(A181,'Periods 26-25'!$C$2:$C$13,1),"")</f>
        <v/>
      </c>
    </row>
    <row r="182" spans="5:9" x14ac:dyDescent="0.3">
      <c r="E182" s="4"/>
      <c r="I182" t="str">
        <f>IFERROR(MATCH(A182,'Periods 26-25'!$C$2:$C$13,1),"")</f>
        <v/>
      </c>
    </row>
    <row r="183" spans="5:9" x14ac:dyDescent="0.3">
      <c r="E183" s="4"/>
      <c r="I183" t="str">
        <f>IFERROR(MATCH(A183,'Periods 26-25'!$C$2:$C$13,1),"")</f>
        <v/>
      </c>
    </row>
    <row r="184" spans="5:9" x14ac:dyDescent="0.3">
      <c r="E184" s="4"/>
      <c r="I184" t="str">
        <f>IFERROR(MATCH(A184,'Periods 26-25'!$C$2:$C$13,1),"")</f>
        <v/>
      </c>
    </row>
    <row r="185" spans="5:9" x14ac:dyDescent="0.3">
      <c r="E185" s="4"/>
      <c r="I185" t="str">
        <f>IFERROR(MATCH(A185,'Periods 26-25'!$C$2:$C$13,1),"")</f>
        <v/>
      </c>
    </row>
    <row r="186" spans="5:9" x14ac:dyDescent="0.3">
      <c r="E186" s="4"/>
      <c r="I186" t="str">
        <f>IFERROR(MATCH(A186,'Periods 26-25'!$C$2:$C$13,1),"")</f>
        <v/>
      </c>
    </row>
    <row r="187" spans="5:9" x14ac:dyDescent="0.3">
      <c r="E187" s="4"/>
      <c r="I187" t="str">
        <f>IFERROR(MATCH(A187,'Periods 26-25'!$C$2:$C$13,1),"")</f>
        <v/>
      </c>
    </row>
    <row r="188" spans="5:9" x14ac:dyDescent="0.3">
      <c r="E188" s="4"/>
      <c r="I188" t="str">
        <f>IFERROR(MATCH(A188,'Periods 26-25'!$C$2:$C$13,1),"")</f>
        <v/>
      </c>
    </row>
    <row r="189" spans="5:9" x14ac:dyDescent="0.3">
      <c r="E189" s="4"/>
      <c r="I189" t="str">
        <f>IFERROR(MATCH(A189,'Periods 26-25'!$C$2:$C$13,1),"")</f>
        <v/>
      </c>
    </row>
    <row r="190" spans="5:9" x14ac:dyDescent="0.3">
      <c r="E190" s="4"/>
      <c r="I190" t="str">
        <f>IFERROR(MATCH(A190,'Periods 26-25'!$C$2:$C$13,1),"")</f>
        <v/>
      </c>
    </row>
    <row r="191" spans="5:9" x14ac:dyDescent="0.3">
      <c r="E191" s="4"/>
      <c r="I191" t="str">
        <f>IFERROR(MATCH(A191,'Periods 26-25'!$C$2:$C$13,1),"")</f>
        <v/>
      </c>
    </row>
    <row r="192" spans="5:9" x14ac:dyDescent="0.3">
      <c r="E192" s="4"/>
      <c r="I192" t="str">
        <f>IFERROR(MATCH(A192,'Periods 26-25'!$C$2:$C$13,1),"")</f>
        <v/>
      </c>
    </row>
    <row r="193" spans="5:9" x14ac:dyDescent="0.3">
      <c r="E193" s="4"/>
      <c r="I193" t="str">
        <f>IFERROR(MATCH(A193,'Periods 26-25'!$C$2:$C$13,1),"")</f>
        <v/>
      </c>
    </row>
    <row r="194" spans="5:9" x14ac:dyDescent="0.3">
      <c r="E194" s="4"/>
      <c r="I194" t="str">
        <f>IFERROR(MATCH(A194,'Periods 26-25'!$C$2:$C$13,1),"")</f>
        <v/>
      </c>
    </row>
    <row r="195" spans="5:9" x14ac:dyDescent="0.3">
      <c r="E195" s="4"/>
      <c r="I195" t="str">
        <f>IFERROR(MATCH(A195,'Periods 26-25'!$C$2:$C$13,1),"")</f>
        <v/>
      </c>
    </row>
    <row r="196" spans="5:9" x14ac:dyDescent="0.3">
      <c r="E196" s="4"/>
      <c r="I196" t="str">
        <f>IFERROR(MATCH(A196,'Periods 26-25'!$C$2:$C$13,1),"")</f>
        <v/>
      </c>
    </row>
    <row r="197" spans="5:9" x14ac:dyDescent="0.3">
      <c r="E197" s="4"/>
      <c r="I197" t="str">
        <f>IFERROR(MATCH(A197,'Periods 26-25'!$C$2:$C$13,1),"")</f>
        <v/>
      </c>
    </row>
    <row r="198" spans="5:9" x14ac:dyDescent="0.3">
      <c r="E198" s="4"/>
      <c r="I198" t="str">
        <f>IFERROR(MATCH(A198,'Periods 26-25'!$C$2:$C$13,1),"")</f>
        <v/>
      </c>
    </row>
    <row r="199" spans="5:9" x14ac:dyDescent="0.3">
      <c r="E199" s="4"/>
      <c r="I199" t="str">
        <f>IFERROR(MATCH(A199,'Periods 26-25'!$C$2:$C$13,1),"")</f>
        <v/>
      </c>
    </row>
    <row r="200" spans="5:9" x14ac:dyDescent="0.3">
      <c r="E200" s="4"/>
      <c r="I200" t="str">
        <f>IFERROR(MATCH(A200,'Periods 26-25'!$C$2:$C$13,1),"")</f>
        <v/>
      </c>
    </row>
    <row r="201" spans="5:9" x14ac:dyDescent="0.3">
      <c r="E201" s="4"/>
      <c r="I201" t="str">
        <f>IFERROR(MATCH(A201,'Periods 26-25'!$C$2:$C$13,1),"")</f>
        <v/>
      </c>
    </row>
    <row r="202" spans="5:9" x14ac:dyDescent="0.3">
      <c r="E202" s="4"/>
      <c r="I202" t="str">
        <f>IFERROR(MATCH(A202,'Periods 26-25'!$C$2:$C$13,1),"")</f>
        <v/>
      </c>
    </row>
    <row r="203" spans="5:9" x14ac:dyDescent="0.3">
      <c r="E203" s="4"/>
      <c r="I203" t="str">
        <f>IFERROR(MATCH(A203,'Periods 26-25'!$C$2:$C$13,1),"")</f>
        <v/>
      </c>
    </row>
    <row r="204" spans="5:9" x14ac:dyDescent="0.3">
      <c r="E204" s="4"/>
      <c r="I204" t="str">
        <f>IFERROR(MATCH(A204,'Periods 26-25'!$C$2:$C$13,1),"")</f>
        <v/>
      </c>
    </row>
    <row r="205" spans="5:9" x14ac:dyDescent="0.3">
      <c r="E205" s="4"/>
      <c r="I205" t="str">
        <f>IFERROR(MATCH(A205,'Periods 26-25'!$C$2:$C$13,1),"")</f>
        <v/>
      </c>
    </row>
    <row r="206" spans="5:9" x14ac:dyDescent="0.3">
      <c r="E206" s="4"/>
      <c r="I206" t="str">
        <f>IFERROR(MATCH(A206,'Periods 26-25'!$C$2:$C$13,1),"")</f>
        <v/>
      </c>
    </row>
    <row r="207" spans="5:9" x14ac:dyDescent="0.3">
      <c r="E207" s="4"/>
      <c r="I207" t="str">
        <f>IFERROR(MATCH(A207,'Periods 26-25'!$C$2:$C$13,1),"")</f>
        <v/>
      </c>
    </row>
    <row r="208" spans="5:9" x14ac:dyDescent="0.3">
      <c r="E208" s="4"/>
      <c r="I208" t="str">
        <f>IFERROR(MATCH(A208,'Periods 26-25'!$C$2:$C$13,1),"")</f>
        <v/>
      </c>
    </row>
    <row r="209" spans="5:9" x14ac:dyDescent="0.3">
      <c r="E209" s="4"/>
      <c r="I209" t="str">
        <f>IFERROR(MATCH(A209,'Periods 26-25'!$C$2:$C$13,1),"")</f>
        <v/>
      </c>
    </row>
    <row r="210" spans="5:9" x14ac:dyDescent="0.3">
      <c r="E210" s="4"/>
      <c r="I210" t="str">
        <f>IFERROR(MATCH(A210,'Periods 26-25'!$C$2:$C$13,1),"")</f>
        <v/>
      </c>
    </row>
    <row r="211" spans="5:9" x14ac:dyDescent="0.3">
      <c r="E211" s="4"/>
      <c r="I211" t="str">
        <f>IFERROR(MATCH(A211,'Periods 26-25'!$C$2:$C$13,1),"")</f>
        <v/>
      </c>
    </row>
    <row r="212" spans="5:9" x14ac:dyDescent="0.3">
      <c r="E212" s="4"/>
      <c r="I212" t="str">
        <f>IFERROR(MATCH(A212,'Periods 26-25'!$C$2:$C$13,1),"")</f>
        <v/>
      </c>
    </row>
    <row r="213" spans="5:9" x14ac:dyDescent="0.3">
      <c r="E213" s="4"/>
      <c r="I213" t="str">
        <f>IFERROR(MATCH(A213,'Periods 26-25'!$C$2:$C$13,1),"")</f>
        <v/>
      </c>
    </row>
    <row r="214" spans="5:9" x14ac:dyDescent="0.3">
      <c r="E214" s="4"/>
      <c r="I214" t="str">
        <f>IFERROR(MATCH(A214,'Periods 26-25'!$C$2:$C$13,1),"")</f>
        <v/>
      </c>
    </row>
    <row r="215" spans="5:9" x14ac:dyDescent="0.3">
      <c r="E215" s="4"/>
      <c r="I215" t="str">
        <f>IFERROR(MATCH(A215,'Periods 26-25'!$C$2:$C$13,1),"")</f>
        <v/>
      </c>
    </row>
    <row r="216" spans="5:9" x14ac:dyDescent="0.3">
      <c r="E216" s="4"/>
      <c r="I216" t="str">
        <f>IFERROR(MATCH(A216,'Periods 26-25'!$C$2:$C$13,1),"")</f>
        <v/>
      </c>
    </row>
    <row r="217" spans="5:9" x14ac:dyDescent="0.3">
      <c r="E217" s="4"/>
      <c r="I217" t="str">
        <f>IFERROR(MATCH(A217,'Periods 26-25'!$C$2:$C$13,1),"")</f>
        <v/>
      </c>
    </row>
    <row r="218" spans="5:9" x14ac:dyDescent="0.3">
      <c r="E218" s="4"/>
      <c r="I218" t="str">
        <f>IFERROR(MATCH(A218,'Periods 26-25'!$C$2:$C$13,1),"")</f>
        <v/>
      </c>
    </row>
    <row r="219" spans="5:9" x14ac:dyDescent="0.3">
      <c r="E219" s="4"/>
      <c r="I219" t="str">
        <f>IFERROR(MATCH(A219,'Periods 26-25'!$C$2:$C$13,1),"")</f>
        <v/>
      </c>
    </row>
    <row r="220" spans="5:9" x14ac:dyDescent="0.3">
      <c r="E220" s="4"/>
      <c r="I220" t="str">
        <f>IFERROR(MATCH(A220,'Periods 26-25'!$C$2:$C$13,1),"")</f>
        <v/>
      </c>
    </row>
    <row r="221" spans="5:9" x14ac:dyDescent="0.3">
      <c r="E221" s="4"/>
      <c r="I221" t="str">
        <f>IFERROR(MATCH(A221,'Periods 26-25'!$C$2:$C$13,1),"")</f>
        <v/>
      </c>
    </row>
    <row r="222" spans="5:9" x14ac:dyDescent="0.3">
      <c r="E222" s="4"/>
      <c r="I222" t="str">
        <f>IFERROR(MATCH(A222,'Periods 26-25'!$C$2:$C$13,1),"")</f>
        <v/>
      </c>
    </row>
    <row r="223" spans="5:9" x14ac:dyDescent="0.3">
      <c r="E223" s="4"/>
      <c r="I223" t="str">
        <f>IFERROR(MATCH(A223,'Periods 26-25'!$C$2:$C$13,1),"")</f>
        <v/>
      </c>
    </row>
    <row r="224" spans="5:9" x14ac:dyDescent="0.3">
      <c r="E224" s="4"/>
      <c r="I224" t="str">
        <f>IFERROR(MATCH(A224,'Periods 26-25'!$C$2:$C$13,1),"")</f>
        <v/>
      </c>
    </row>
    <row r="225" spans="5:9" x14ac:dyDescent="0.3">
      <c r="E225" s="4"/>
      <c r="I225" t="str">
        <f>IFERROR(MATCH(A225,'Periods 26-25'!$C$2:$C$13,1),"")</f>
        <v/>
      </c>
    </row>
    <row r="226" spans="5:9" x14ac:dyDescent="0.3">
      <c r="E226" s="4"/>
      <c r="I226" t="str">
        <f>IFERROR(MATCH(A226,'Periods 26-25'!$C$2:$C$13,1),"")</f>
        <v/>
      </c>
    </row>
    <row r="227" spans="5:9" x14ac:dyDescent="0.3">
      <c r="E227" s="4"/>
      <c r="I227" t="str">
        <f>IFERROR(MATCH(A227,'Periods 26-25'!$C$2:$C$13,1),"")</f>
        <v/>
      </c>
    </row>
    <row r="228" spans="5:9" x14ac:dyDescent="0.3">
      <c r="E228" s="4"/>
      <c r="I228" t="str">
        <f>IFERROR(MATCH(A228,'Periods 26-25'!$C$2:$C$13,1),"")</f>
        <v/>
      </c>
    </row>
    <row r="229" spans="5:9" x14ac:dyDescent="0.3">
      <c r="E229" s="4"/>
      <c r="I229" t="str">
        <f>IFERROR(MATCH(A229,'Periods 26-25'!$C$2:$C$13,1),"")</f>
        <v/>
      </c>
    </row>
    <row r="230" spans="5:9" x14ac:dyDescent="0.3">
      <c r="E230" s="4"/>
      <c r="I230" t="str">
        <f>IFERROR(MATCH(A230,'Periods 26-25'!$C$2:$C$13,1),"")</f>
        <v/>
      </c>
    </row>
    <row r="231" spans="5:9" x14ac:dyDescent="0.3">
      <c r="E231" s="4"/>
      <c r="I231" t="str">
        <f>IFERROR(MATCH(A231,'Periods 26-25'!$C$2:$C$13,1),"")</f>
        <v/>
      </c>
    </row>
    <row r="232" spans="5:9" x14ac:dyDescent="0.3">
      <c r="E232" s="4"/>
      <c r="I232" t="str">
        <f>IFERROR(MATCH(A232,'Periods 26-25'!$C$2:$C$13,1),"")</f>
        <v/>
      </c>
    </row>
    <row r="233" spans="5:9" x14ac:dyDescent="0.3">
      <c r="E233" s="4"/>
      <c r="I233" t="str">
        <f>IFERROR(MATCH(A233,'Periods 26-25'!$C$2:$C$13,1),"")</f>
        <v/>
      </c>
    </row>
    <row r="234" spans="5:9" x14ac:dyDescent="0.3">
      <c r="E234" s="4"/>
      <c r="I234" t="str">
        <f>IFERROR(MATCH(A234,'Periods 26-25'!$C$2:$C$13,1),"")</f>
        <v/>
      </c>
    </row>
    <row r="235" spans="5:9" x14ac:dyDescent="0.3">
      <c r="E235" s="4"/>
      <c r="I235" t="str">
        <f>IFERROR(MATCH(A235,'Periods 26-25'!$C$2:$C$13,1),"")</f>
        <v/>
      </c>
    </row>
    <row r="236" spans="5:9" x14ac:dyDescent="0.3">
      <c r="E236" s="4"/>
      <c r="I236" t="str">
        <f>IFERROR(MATCH(A236,'Periods 26-25'!$C$2:$C$13,1),"")</f>
        <v/>
      </c>
    </row>
    <row r="237" spans="5:9" x14ac:dyDescent="0.3">
      <c r="E237" s="4"/>
      <c r="I237" t="str">
        <f>IFERROR(MATCH(A237,'Periods 26-25'!$C$2:$C$13,1),"")</f>
        <v/>
      </c>
    </row>
    <row r="238" spans="5:9" x14ac:dyDescent="0.3">
      <c r="E238" s="4"/>
      <c r="I238" t="str">
        <f>IFERROR(MATCH(A238,'Periods 26-25'!$C$2:$C$13,1),"")</f>
        <v/>
      </c>
    </row>
    <row r="239" spans="5:9" x14ac:dyDescent="0.3">
      <c r="E239" s="4"/>
      <c r="I239" t="str">
        <f>IFERROR(MATCH(A239,'Periods 26-25'!$C$2:$C$13,1),"")</f>
        <v/>
      </c>
    </row>
    <row r="240" spans="5:9" x14ac:dyDescent="0.3">
      <c r="E240" s="4"/>
      <c r="I240" t="str">
        <f>IFERROR(MATCH(A240,'Periods 26-25'!$C$2:$C$13,1),"")</f>
        <v/>
      </c>
    </row>
    <row r="241" spans="5:9" x14ac:dyDescent="0.3">
      <c r="E241" s="4"/>
      <c r="I241" t="str">
        <f>IFERROR(MATCH(A241,'Periods 26-25'!$C$2:$C$13,1),"")</f>
        <v/>
      </c>
    </row>
    <row r="242" spans="5:9" x14ac:dyDescent="0.3">
      <c r="E242" s="4"/>
      <c r="I242" t="str">
        <f>IFERROR(MATCH(A242,'Periods 26-25'!$C$2:$C$13,1),"")</f>
        <v/>
      </c>
    </row>
    <row r="243" spans="5:9" x14ac:dyDescent="0.3">
      <c r="E243" s="4"/>
      <c r="I243" t="str">
        <f>IFERROR(MATCH(A243,'Periods 26-25'!$C$2:$C$13,1),"")</f>
        <v/>
      </c>
    </row>
    <row r="244" spans="5:9" x14ac:dyDescent="0.3">
      <c r="E244" s="4"/>
      <c r="I244" t="str">
        <f>IFERROR(MATCH(A244,'Periods 26-25'!$C$2:$C$13,1),"")</f>
        <v/>
      </c>
    </row>
    <row r="245" spans="5:9" x14ac:dyDescent="0.3">
      <c r="E245" s="4"/>
      <c r="I245" t="str">
        <f>IFERROR(MATCH(A245,'Periods 26-25'!$C$2:$C$13,1),"")</f>
        <v/>
      </c>
    </row>
    <row r="246" spans="5:9" x14ac:dyDescent="0.3">
      <c r="E246" s="4"/>
      <c r="I246" t="str">
        <f>IFERROR(MATCH(A246,'Periods 26-25'!$C$2:$C$13,1),"")</f>
        <v/>
      </c>
    </row>
    <row r="247" spans="5:9" x14ac:dyDescent="0.3">
      <c r="E247" s="4"/>
      <c r="I247" t="str">
        <f>IFERROR(MATCH(A247,'Periods 26-25'!$C$2:$C$13,1),"")</f>
        <v/>
      </c>
    </row>
    <row r="248" spans="5:9" x14ac:dyDescent="0.3">
      <c r="E248" s="4"/>
      <c r="I248" t="str">
        <f>IFERROR(MATCH(A248,'Periods 26-25'!$C$2:$C$13,1),"")</f>
        <v/>
      </c>
    </row>
    <row r="249" spans="5:9" x14ac:dyDescent="0.3">
      <c r="E249" s="4"/>
      <c r="I249" t="str">
        <f>IFERROR(MATCH(A249,'Periods 26-25'!$C$2:$C$13,1),"")</f>
        <v/>
      </c>
    </row>
    <row r="250" spans="5:9" x14ac:dyDescent="0.3">
      <c r="E250" s="4"/>
      <c r="I250" t="str">
        <f>IFERROR(MATCH(A250,'Periods 26-25'!$C$2:$C$13,1),"")</f>
        <v/>
      </c>
    </row>
    <row r="251" spans="5:9" x14ac:dyDescent="0.3">
      <c r="E251" s="4"/>
      <c r="I251" t="str">
        <f>IFERROR(MATCH(A251,'Periods 26-25'!$C$2:$C$13,1),"")</f>
        <v/>
      </c>
    </row>
    <row r="252" spans="5:9" x14ac:dyDescent="0.3">
      <c r="E252" s="4"/>
      <c r="I252" t="str">
        <f>IFERROR(MATCH(A252,'Periods 26-25'!$C$2:$C$13,1),"")</f>
        <v/>
      </c>
    </row>
    <row r="253" spans="5:9" x14ac:dyDescent="0.3">
      <c r="E253" s="4"/>
      <c r="I253" t="str">
        <f>IFERROR(MATCH(A253,'Periods 26-25'!$C$2:$C$13,1),"")</f>
        <v/>
      </c>
    </row>
    <row r="254" spans="5:9" x14ac:dyDescent="0.3">
      <c r="E254" s="4"/>
      <c r="I254" t="str">
        <f>IFERROR(MATCH(A254,'Periods 26-25'!$C$2:$C$13,1),"")</f>
        <v/>
      </c>
    </row>
    <row r="255" spans="5:9" x14ac:dyDescent="0.3">
      <c r="E255" s="4"/>
      <c r="I255" t="str">
        <f>IFERROR(MATCH(A255,'Periods 26-25'!$C$2:$C$13,1),"")</f>
        <v/>
      </c>
    </row>
    <row r="256" spans="5:9" x14ac:dyDescent="0.3">
      <c r="E256" s="4"/>
      <c r="I256" t="str">
        <f>IFERROR(MATCH(A256,'Periods 26-25'!$C$2:$C$13,1),"")</f>
        <v/>
      </c>
    </row>
    <row r="257" spans="5:9" x14ac:dyDescent="0.3">
      <c r="E257" s="4"/>
      <c r="I257" t="str">
        <f>IFERROR(MATCH(A257,'Periods 26-25'!$C$2:$C$13,1),"")</f>
        <v/>
      </c>
    </row>
    <row r="258" spans="5:9" x14ac:dyDescent="0.3">
      <c r="E258" s="4"/>
      <c r="I258" t="str">
        <f>IFERROR(MATCH(A258,'Periods 26-25'!$C$2:$C$13,1),"")</f>
        <v/>
      </c>
    </row>
    <row r="259" spans="5:9" x14ac:dyDescent="0.3">
      <c r="E259" s="4"/>
      <c r="I259" t="str">
        <f>IFERROR(MATCH(A259,'Periods 26-25'!$C$2:$C$13,1),"")</f>
        <v/>
      </c>
    </row>
    <row r="260" spans="5:9" x14ac:dyDescent="0.3">
      <c r="E260" s="4"/>
      <c r="I260" t="str">
        <f>IFERROR(MATCH(A260,'Periods 26-25'!$C$2:$C$13,1),"")</f>
        <v/>
      </c>
    </row>
    <row r="261" spans="5:9" x14ac:dyDescent="0.3">
      <c r="E261" s="4"/>
      <c r="I261" t="str">
        <f>IFERROR(MATCH(A261,'Periods 26-25'!$C$2:$C$13,1),"")</f>
        <v/>
      </c>
    </row>
    <row r="262" spans="5:9" x14ac:dyDescent="0.3">
      <c r="E262" s="4"/>
      <c r="I262" t="str">
        <f>IFERROR(MATCH(A262,'Periods 26-25'!$C$2:$C$13,1),"")</f>
        <v/>
      </c>
    </row>
    <row r="263" spans="5:9" x14ac:dyDescent="0.3">
      <c r="E263" s="4"/>
      <c r="I263" t="str">
        <f>IFERROR(MATCH(A263,'Periods 26-25'!$C$2:$C$13,1),"")</f>
        <v/>
      </c>
    </row>
    <row r="264" spans="5:9" x14ac:dyDescent="0.3">
      <c r="E264" s="4"/>
      <c r="I264" t="str">
        <f>IFERROR(MATCH(A264,'Periods 26-25'!$C$2:$C$13,1),"")</f>
        <v/>
      </c>
    </row>
    <row r="265" spans="5:9" x14ac:dyDescent="0.3">
      <c r="E265" s="4"/>
      <c r="I265" t="str">
        <f>IFERROR(MATCH(A265,'Periods 26-25'!$C$2:$C$13,1),"")</f>
        <v/>
      </c>
    </row>
    <row r="266" spans="5:9" x14ac:dyDescent="0.3">
      <c r="E266" s="4"/>
      <c r="I266" t="str">
        <f>IFERROR(MATCH(A266,'Periods 26-25'!$C$2:$C$13,1),"")</f>
        <v/>
      </c>
    </row>
    <row r="267" spans="5:9" x14ac:dyDescent="0.3">
      <c r="E267" s="4"/>
      <c r="I267" t="str">
        <f>IFERROR(MATCH(A267,'Periods 26-25'!$C$2:$C$13,1),"")</f>
        <v/>
      </c>
    </row>
    <row r="268" spans="5:9" x14ac:dyDescent="0.3">
      <c r="E268" s="4"/>
      <c r="I268" t="str">
        <f>IFERROR(MATCH(A268,'Periods 26-25'!$C$2:$C$13,1),"")</f>
        <v/>
      </c>
    </row>
    <row r="269" spans="5:9" x14ac:dyDescent="0.3">
      <c r="E269" s="4"/>
      <c r="I269" t="str">
        <f>IFERROR(MATCH(A269,'Periods 26-25'!$C$2:$C$13,1),"")</f>
        <v/>
      </c>
    </row>
    <row r="270" spans="5:9" x14ac:dyDescent="0.3">
      <c r="E270" s="4"/>
      <c r="I270" t="str">
        <f>IFERROR(MATCH(A270,'Periods 26-25'!$C$2:$C$13,1),"")</f>
        <v/>
      </c>
    </row>
    <row r="271" spans="5:9" x14ac:dyDescent="0.3">
      <c r="E271" s="4"/>
      <c r="I271" t="str">
        <f>IFERROR(MATCH(A271,'Periods 26-25'!$C$2:$C$13,1),"")</f>
        <v/>
      </c>
    </row>
    <row r="272" spans="5:9" x14ac:dyDescent="0.3">
      <c r="E272" s="4"/>
      <c r="I272" t="str">
        <f>IFERROR(MATCH(A272,'Periods 26-25'!$C$2:$C$13,1),"")</f>
        <v/>
      </c>
    </row>
    <row r="273" spans="5:9" x14ac:dyDescent="0.3">
      <c r="E273" s="4"/>
      <c r="I273" t="str">
        <f>IFERROR(MATCH(A273,'Periods 26-25'!$C$2:$C$13,1),"")</f>
        <v/>
      </c>
    </row>
    <row r="274" spans="5:9" x14ac:dyDescent="0.3">
      <c r="E274" s="4"/>
      <c r="I274" t="str">
        <f>IFERROR(MATCH(A274,'Periods 26-25'!$C$2:$C$13,1),"")</f>
        <v/>
      </c>
    </row>
    <row r="275" spans="5:9" x14ac:dyDescent="0.3">
      <c r="E275" s="4"/>
      <c r="I275" t="str">
        <f>IFERROR(MATCH(A275,'Periods 26-25'!$C$2:$C$13,1),"")</f>
        <v/>
      </c>
    </row>
    <row r="276" spans="5:9" x14ac:dyDescent="0.3">
      <c r="E276" s="4"/>
      <c r="I276" t="str">
        <f>IFERROR(MATCH(A276,'Periods 26-25'!$C$2:$C$13,1),"")</f>
        <v/>
      </c>
    </row>
    <row r="277" spans="5:9" x14ac:dyDescent="0.3">
      <c r="E277" s="4"/>
      <c r="I277" t="str">
        <f>IFERROR(MATCH(A277,'Periods 26-25'!$C$2:$C$13,1),"")</f>
        <v/>
      </c>
    </row>
    <row r="278" spans="5:9" x14ac:dyDescent="0.3">
      <c r="E278" s="4"/>
      <c r="I278" t="str">
        <f>IFERROR(MATCH(A278,'Periods 26-25'!$C$2:$C$13,1),"")</f>
        <v/>
      </c>
    </row>
    <row r="279" spans="5:9" x14ac:dyDescent="0.3">
      <c r="E279" s="4"/>
      <c r="I279" t="str">
        <f>IFERROR(MATCH(A279,'Periods 26-25'!$C$2:$C$13,1),"")</f>
        <v/>
      </c>
    </row>
    <row r="280" spans="5:9" x14ac:dyDescent="0.3">
      <c r="E280" s="4"/>
      <c r="I280" t="str">
        <f>IFERROR(MATCH(A280,'Periods 26-25'!$C$2:$C$13,1),"")</f>
        <v/>
      </c>
    </row>
    <row r="281" spans="5:9" x14ac:dyDescent="0.3">
      <c r="E281" s="4"/>
      <c r="I281" t="str">
        <f>IFERROR(MATCH(A281,'Periods 26-25'!$C$2:$C$13,1),"")</f>
        <v/>
      </c>
    </row>
    <row r="282" spans="5:9" x14ac:dyDescent="0.3">
      <c r="E282" s="4"/>
      <c r="I282" t="str">
        <f>IFERROR(MATCH(A282,'Periods 26-25'!$C$2:$C$13,1),"")</f>
        <v/>
      </c>
    </row>
    <row r="283" spans="5:9" x14ac:dyDescent="0.3">
      <c r="E283" s="4"/>
      <c r="I283" t="str">
        <f>IFERROR(MATCH(A283,'Periods 26-25'!$C$2:$C$13,1),"")</f>
        <v/>
      </c>
    </row>
    <row r="284" spans="5:9" x14ac:dyDescent="0.3">
      <c r="E284" s="4"/>
      <c r="I284" t="str">
        <f>IFERROR(MATCH(A284,'Periods 26-25'!$C$2:$C$13,1),"")</f>
        <v/>
      </c>
    </row>
    <row r="285" spans="5:9" x14ac:dyDescent="0.3">
      <c r="E285" s="4"/>
      <c r="I285" t="str">
        <f>IFERROR(MATCH(A285,'Periods 26-25'!$C$2:$C$13,1),"")</f>
        <v/>
      </c>
    </row>
    <row r="286" spans="5:9" x14ac:dyDescent="0.3">
      <c r="E286" s="4"/>
      <c r="I286" t="str">
        <f>IFERROR(MATCH(A286,'Periods 26-25'!$C$2:$C$13,1),"")</f>
        <v/>
      </c>
    </row>
    <row r="287" spans="5:9" x14ac:dyDescent="0.3">
      <c r="E287" s="4"/>
      <c r="I287" t="str">
        <f>IFERROR(MATCH(A287,'Periods 26-25'!$C$2:$C$13,1),"")</f>
        <v/>
      </c>
    </row>
    <row r="288" spans="5:9" x14ac:dyDescent="0.3">
      <c r="E288" s="4"/>
      <c r="I288" t="str">
        <f>IFERROR(MATCH(A288,'Periods 26-25'!$C$2:$C$13,1),"")</f>
        <v/>
      </c>
    </row>
    <row r="289" spans="5:9" x14ac:dyDescent="0.3">
      <c r="E289" s="4"/>
      <c r="I289" t="str">
        <f>IFERROR(MATCH(A289,'Periods 26-25'!$C$2:$C$13,1),"")</f>
        <v/>
      </c>
    </row>
    <row r="290" spans="5:9" x14ac:dyDescent="0.3">
      <c r="E290" s="4"/>
      <c r="I290" t="str">
        <f>IFERROR(MATCH(A290,'Periods 26-25'!$C$2:$C$13,1),"")</f>
        <v/>
      </c>
    </row>
    <row r="291" spans="5:9" x14ac:dyDescent="0.3">
      <c r="E291" s="4"/>
      <c r="I291" t="str">
        <f>IFERROR(MATCH(A291,'Periods 26-25'!$C$2:$C$13,1),"")</f>
        <v/>
      </c>
    </row>
    <row r="292" spans="5:9" x14ac:dyDescent="0.3">
      <c r="E292" s="4"/>
      <c r="I292" t="str">
        <f>IFERROR(MATCH(A292,'Periods 26-25'!$C$2:$C$13,1),"")</f>
        <v/>
      </c>
    </row>
    <row r="293" spans="5:9" x14ac:dyDescent="0.3">
      <c r="E293" s="4"/>
      <c r="I293" t="str">
        <f>IFERROR(MATCH(A293,'Periods 26-25'!$C$2:$C$13,1),"")</f>
        <v/>
      </c>
    </row>
    <row r="294" spans="5:9" x14ac:dyDescent="0.3">
      <c r="E294" s="4"/>
      <c r="I294" t="str">
        <f>IFERROR(MATCH(A294,'Periods 26-25'!$C$2:$C$13,1),"")</f>
        <v/>
      </c>
    </row>
    <row r="295" spans="5:9" x14ac:dyDescent="0.3">
      <c r="E295" s="4"/>
      <c r="I295" t="str">
        <f>IFERROR(MATCH(A295,'Periods 26-25'!$C$2:$C$13,1),"")</f>
        <v/>
      </c>
    </row>
    <row r="296" spans="5:9" x14ac:dyDescent="0.3">
      <c r="E296" s="4"/>
      <c r="I296" t="str">
        <f>IFERROR(MATCH(A296,'Periods 26-25'!$C$2:$C$13,1),"")</f>
        <v/>
      </c>
    </row>
    <row r="297" spans="5:9" x14ac:dyDescent="0.3">
      <c r="E297" s="4"/>
      <c r="I297" t="str">
        <f>IFERROR(MATCH(A297,'Periods 26-25'!$C$2:$C$13,1),"")</f>
        <v/>
      </c>
    </row>
    <row r="298" spans="5:9" x14ac:dyDescent="0.3">
      <c r="E298" s="4"/>
      <c r="I298" t="str">
        <f>IFERROR(MATCH(A298,'Periods 26-25'!$C$2:$C$13,1),"")</f>
        <v/>
      </c>
    </row>
    <row r="299" spans="5:9" x14ac:dyDescent="0.3">
      <c r="E299" s="4"/>
      <c r="I299" t="str">
        <f>IFERROR(MATCH(A299,'Periods 26-25'!$C$2:$C$13,1),"")</f>
        <v/>
      </c>
    </row>
    <row r="300" spans="5:9" x14ac:dyDescent="0.3">
      <c r="E300" s="4"/>
      <c r="I300" t="str">
        <f>IFERROR(MATCH(A300,'Periods 26-25'!$C$2:$C$13,1),"")</f>
        <v/>
      </c>
    </row>
    <row r="301" spans="5:9" x14ac:dyDescent="0.3">
      <c r="E301" s="4"/>
      <c r="I301" t="str">
        <f>IFERROR(MATCH(A301,'Periods 26-25'!$C$2:$C$13,1),"")</f>
        <v/>
      </c>
    </row>
    <row r="302" spans="5:9" x14ac:dyDescent="0.3">
      <c r="E302" s="4"/>
      <c r="I302" t="str">
        <f>IFERROR(MATCH(A302,'Periods 26-25'!$C$2:$C$13,1),"")</f>
        <v/>
      </c>
    </row>
    <row r="303" spans="5:9" x14ac:dyDescent="0.3">
      <c r="E303" s="4"/>
      <c r="I303" t="str">
        <f>IFERROR(MATCH(A303,'Periods 26-25'!$C$2:$C$13,1),"")</f>
        <v/>
      </c>
    </row>
    <row r="304" spans="5:9" x14ac:dyDescent="0.3">
      <c r="E304" s="4"/>
      <c r="I304" t="str">
        <f>IFERROR(MATCH(A304,'Periods 26-25'!$C$2:$C$13,1),"")</f>
        <v/>
      </c>
    </row>
    <row r="305" spans="5:9" x14ac:dyDescent="0.3">
      <c r="E305" s="4"/>
      <c r="I305" t="str">
        <f>IFERROR(MATCH(A305,'Periods 26-25'!$C$2:$C$13,1),"")</f>
        <v/>
      </c>
    </row>
    <row r="306" spans="5:9" x14ac:dyDescent="0.3">
      <c r="E306" s="4"/>
      <c r="I306" t="str">
        <f>IFERROR(MATCH(A306,'Periods 26-25'!$C$2:$C$13,1),"")</f>
        <v/>
      </c>
    </row>
    <row r="307" spans="5:9" x14ac:dyDescent="0.3">
      <c r="E307" s="4"/>
      <c r="I307" t="str">
        <f>IFERROR(MATCH(A307,'Periods 26-25'!$C$2:$C$13,1),"")</f>
        <v/>
      </c>
    </row>
    <row r="308" spans="5:9" x14ac:dyDescent="0.3">
      <c r="E308" s="4"/>
      <c r="I308" t="str">
        <f>IFERROR(MATCH(A308,'Periods 26-25'!$C$2:$C$13,1),"")</f>
        <v/>
      </c>
    </row>
    <row r="309" spans="5:9" x14ac:dyDescent="0.3">
      <c r="E309" s="4"/>
      <c r="I309" t="str">
        <f>IFERROR(MATCH(A309,'Periods 26-25'!$C$2:$C$13,1),"")</f>
        <v/>
      </c>
    </row>
    <row r="310" spans="5:9" x14ac:dyDescent="0.3">
      <c r="E310" s="4"/>
      <c r="I310" t="str">
        <f>IFERROR(MATCH(A310,'Periods 26-25'!$C$2:$C$13,1),"")</f>
        <v/>
      </c>
    </row>
    <row r="311" spans="5:9" x14ac:dyDescent="0.3">
      <c r="E311" s="4"/>
      <c r="I311" t="str">
        <f>IFERROR(MATCH(A311,'Periods 26-25'!$C$2:$C$13,1),"")</f>
        <v/>
      </c>
    </row>
    <row r="312" spans="5:9" x14ac:dyDescent="0.3">
      <c r="E312" s="4"/>
      <c r="I312" t="str">
        <f>IFERROR(MATCH(A312,'Periods 26-25'!$C$2:$C$13,1),"")</f>
        <v/>
      </c>
    </row>
    <row r="313" spans="5:9" x14ac:dyDescent="0.3">
      <c r="E313" s="4"/>
      <c r="I313" t="str">
        <f>IFERROR(MATCH(A313,'Periods 26-25'!$C$2:$C$13,1),"")</f>
        <v/>
      </c>
    </row>
    <row r="314" spans="5:9" x14ac:dyDescent="0.3">
      <c r="E314" s="4"/>
      <c r="I314" t="str">
        <f>IFERROR(MATCH(A314,'Periods 26-25'!$C$2:$C$13,1),"")</f>
        <v/>
      </c>
    </row>
    <row r="315" spans="5:9" x14ac:dyDescent="0.3">
      <c r="E315" s="4"/>
      <c r="I315" t="str">
        <f>IFERROR(MATCH(A315,'Periods 26-25'!$C$2:$C$13,1),"")</f>
        <v/>
      </c>
    </row>
    <row r="316" spans="5:9" x14ac:dyDescent="0.3">
      <c r="E316" s="4"/>
      <c r="I316" t="str">
        <f>IFERROR(MATCH(A316,'Periods 26-25'!$C$2:$C$13,1),"")</f>
        <v/>
      </c>
    </row>
    <row r="317" spans="5:9" x14ac:dyDescent="0.3">
      <c r="E317" s="4"/>
      <c r="I317" t="str">
        <f>IFERROR(MATCH(A317,'Periods 26-25'!$C$2:$C$13,1),"")</f>
        <v/>
      </c>
    </row>
    <row r="318" spans="5:9" x14ac:dyDescent="0.3">
      <c r="E318" s="4"/>
      <c r="I318" t="str">
        <f>IFERROR(MATCH(A318,'Periods 26-25'!$C$2:$C$13,1),"")</f>
        <v/>
      </c>
    </row>
    <row r="319" spans="5:9" x14ac:dyDescent="0.3">
      <c r="E319" s="4"/>
      <c r="I319" t="str">
        <f>IFERROR(MATCH(A319,'Periods 26-25'!$C$2:$C$13,1),"")</f>
        <v/>
      </c>
    </row>
    <row r="320" spans="5:9" x14ac:dyDescent="0.3">
      <c r="E320" s="4"/>
      <c r="I320" t="str">
        <f>IFERROR(MATCH(A320,'Periods 26-25'!$C$2:$C$13,1),"")</f>
        <v/>
      </c>
    </row>
    <row r="321" spans="5:9" x14ac:dyDescent="0.3">
      <c r="E321" s="4"/>
      <c r="I321" t="str">
        <f>IFERROR(MATCH(A321,'Periods 26-25'!$C$2:$C$13,1),"")</f>
        <v/>
      </c>
    </row>
    <row r="322" spans="5:9" x14ac:dyDescent="0.3">
      <c r="E322" s="4"/>
      <c r="I322" t="str">
        <f>IFERROR(MATCH(A322,'Periods 26-25'!$C$2:$C$13,1),"")</f>
        <v/>
      </c>
    </row>
    <row r="323" spans="5:9" x14ac:dyDescent="0.3">
      <c r="E323" s="4"/>
      <c r="I323" t="str">
        <f>IFERROR(MATCH(A323,'Periods 26-25'!$C$2:$C$13,1),"")</f>
        <v/>
      </c>
    </row>
    <row r="324" spans="5:9" x14ac:dyDescent="0.3">
      <c r="E324" s="4"/>
      <c r="I324" t="str">
        <f>IFERROR(MATCH(A324,'Periods 26-25'!$C$2:$C$13,1),"")</f>
        <v/>
      </c>
    </row>
    <row r="325" spans="5:9" x14ac:dyDescent="0.3">
      <c r="E325" s="4"/>
      <c r="I325" t="str">
        <f>IFERROR(MATCH(A325,'Periods 26-25'!$C$2:$C$13,1),"")</f>
        <v/>
      </c>
    </row>
    <row r="326" spans="5:9" x14ac:dyDescent="0.3">
      <c r="E326" s="4"/>
      <c r="I326" t="str">
        <f>IFERROR(MATCH(A326,'Periods 26-25'!$C$2:$C$13,1),"")</f>
        <v/>
      </c>
    </row>
    <row r="327" spans="5:9" x14ac:dyDescent="0.3">
      <c r="E327" s="4"/>
      <c r="I327" t="str">
        <f>IFERROR(MATCH(A327,'Periods 26-25'!$C$2:$C$13,1),"")</f>
        <v/>
      </c>
    </row>
    <row r="328" spans="5:9" x14ac:dyDescent="0.3">
      <c r="E328" s="4"/>
      <c r="I328" t="str">
        <f>IFERROR(MATCH(A328,'Periods 26-25'!$C$2:$C$13,1),"")</f>
        <v/>
      </c>
    </row>
    <row r="329" spans="5:9" x14ac:dyDescent="0.3">
      <c r="E329" s="4"/>
      <c r="I329" t="str">
        <f>IFERROR(MATCH(A329,'Periods 26-25'!$C$2:$C$13,1),"")</f>
        <v/>
      </c>
    </row>
    <row r="330" spans="5:9" x14ac:dyDescent="0.3">
      <c r="E330" s="4"/>
      <c r="I330" t="str">
        <f>IFERROR(MATCH(A330,'Periods 26-25'!$C$2:$C$13,1),"")</f>
        <v/>
      </c>
    </row>
    <row r="331" spans="5:9" x14ac:dyDescent="0.3">
      <c r="E331" s="4"/>
      <c r="I331" t="str">
        <f>IFERROR(MATCH(A331,'Periods 26-25'!$C$2:$C$13,1),"")</f>
        <v/>
      </c>
    </row>
    <row r="332" spans="5:9" x14ac:dyDescent="0.3">
      <c r="E332" s="4"/>
      <c r="I332" t="str">
        <f>IFERROR(MATCH(A332,'Periods 26-25'!$C$2:$C$13,1),"")</f>
        <v/>
      </c>
    </row>
    <row r="333" spans="5:9" x14ac:dyDescent="0.3">
      <c r="E333" s="4"/>
      <c r="I333" t="str">
        <f>IFERROR(MATCH(A333,'Periods 26-25'!$C$2:$C$13,1),"")</f>
        <v/>
      </c>
    </row>
    <row r="334" spans="5:9" x14ac:dyDescent="0.3">
      <c r="E334" s="4"/>
      <c r="I334" t="str">
        <f>IFERROR(MATCH(A334,'Periods 26-25'!$C$2:$C$13,1),"")</f>
        <v/>
      </c>
    </row>
    <row r="335" spans="5:9" x14ac:dyDescent="0.3">
      <c r="E335" s="4"/>
      <c r="I335" t="str">
        <f>IFERROR(MATCH(A335,'Periods 26-25'!$C$2:$C$13,1),"")</f>
        <v/>
      </c>
    </row>
    <row r="336" spans="5:9" x14ac:dyDescent="0.3">
      <c r="E336" s="4"/>
      <c r="I336" t="str">
        <f>IFERROR(MATCH(A336,'Periods 26-25'!$C$2:$C$13,1),"")</f>
        <v/>
      </c>
    </row>
    <row r="337" spans="5:9" x14ac:dyDescent="0.3">
      <c r="E337" s="4"/>
      <c r="I337" t="str">
        <f>IFERROR(MATCH(A337,'Periods 26-25'!$C$2:$C$13,1),"")</f>
        <v/>
      </c>
    </row>
    <row r="338" spans="5:9" x14ac:dyDescent="0.3">
      <c r="E338" s="4"/>
      <c r="I338" t="str">
        <f>IFERROR(MATCH(A338,'Periods 26-25'!$C$2:$C$13,1),"")</f>
        <v/>
      </c>
    </row>
    <row r="339" spans="5:9" x14ac:dyDescent="0.3">
      <c r="E339" s="4"/>
      <c r="I339" t="str">
        <f>IFERROR(MATCH(A339,'Periods 26-25'!$C$2:$C$13,1),"")</f>
        <v/>
      </c>
    </row>
    <row r="340" spans="5:9" x14ac:dyDescent="0.3">
      <c r="E340" s="4"/>
      <c r="I340" t="str">
        <f>IFERROR(MATCH(A340,'Periods 26-25'!$C$2:$C$13,1),"")</f>
        <v/>
      </c>
    </row>
    <row r="341" spans="5:9" x14ac:dyDescent="0.3">
      <c r="E341" s="4"/>
      <c r="I341" t="str">
        <f>IFERROR(MATCH(A341,'Periods 26-25'!$C$2:$C$13,1),"")</f>
        <v/>
      </c>
    </row>
    <row r="342" spans="5:9" x14ac:dyDescent="0.3">
      <c r="E342" s="4"/>
      <c r="I342" t="str">
        <f>IFERROR(MATCH(A342,'Periods 26-25'!$C$2:$C$13,1),"")</f>
        <v/>
      </c>
    </row>
    <row r="343" spans="5:9" x14ac:dyDescent="0.3">
      <c r="E343" s="4"/>
      <c r="I343" t="str">
        <f>IFERROR(MATCH(A343,'Periods 26-25'!$C$2:$C$13,1),"")</f>
        <v/>
      </c>
    </row>
    <row r="344" spans="5:9" x14ac:dyDescent="0.3">
      <c r="E344" s="4"/>
      <c r="I344" t="str">
        <f>IFERROR(MATCH(A344,'Periods 26-25'!$C$2:$C$13,1),"")</f>
        <v/>
      </c>
    </row>
    <row r="345" spans="5:9" x14ac:dyDescent="0.3">
      <c r="E345" s="4"/>
      <c r="I345" t="str">
        <f>IFERROR(MATCH(A345,'Periods 26-25'!$C$2:$C$13,1),"")</f>
        <v/>
      </c>
    </row>
    <row r="346" spans="5:9" x14ac:dyDescent="0.3">
      <c r="E346" s="4"/>
      <c r="I346" t="str">
        <f>IFERROR(MATCH(A346,'Periods 26-25'!$C$2:$C$13,1),"")</f>
        <v/>
      </c>
    </row>
    <row r="347" spans="5:9" x14ac:dyDescent="0.3">
      <c r="E347" s="4"/>
      <c r="I347" t="str">
        <f>IFERROR(MATCH(A347,'Periods 26-25'!$C$2:$C$13,1),"")</f>
        <v/>
      </c>
    </row>
    <row r="348" spans="5:9" x14ac:dyDescent="0.3">
      <c r="E348" s="4"/>
      <c r="I348" t="str">
        <f>IFERROR(MATCH(A348,'Periods 26-25'!$C$2:$C$13,1),"")</f>
        <v/>
      </c>
    </row>
    <row r="349" spans="5:9" x14ac:dyDescent="0.3">
      <c r="E349" s="4"/>
      <c r="I349" t="str">
        <f>IFERROR(MATCH(A349,'Periods 26-25'!$C$2:$C$13,1),"")</f>
        <v/>
      </c>
    </row>
    <row r="350" spans="5:9" x14ac:dyDescent="0.3">
      <c r="E350" s="4"/>
      <c r="I350" t="str">
        <f>IFERROR(MATCH(A350,'Periods 26-25'!$C$2:$C$13,1),"")</f>
        <v/>
      </c>
    </row>
    <row r="351" spans="5:9" x14ac:dyDescent="0.3">
      <c r="E351" s="4"/>
      <c r="I351" t="str">
        <f>IFERROR(MATCH(A351,'Periods 26-25'!$C$2:$C$13,1),"")</f>
        <v/>
      </c>
    </row>
    <row r="352" spans="5:9" x14ac:dyDescent="0.3">
      <c r="E352" s="4"/>
      <c r="I352" t="str">
        <f>IFERROR(MATCH(A352,'Periods 26-25'!$C$2:$C$13,1),"")</f>
        <v/>
      </c>
    </row>
    <row r="353" spans="5:9" x14ac:dyDescent="0.3">
      <c r="E353" s="4"/>
      <c r="I353" t="str">
        <f>IFERROR(MATCH(A353,'Periods 26-25'!$C$2:$C$13,1),"")</f>
        <v/>
      </c>
    </row>
    <row r="354" spans="5:9" x14ac:dyDescent="0.3">
      <c r="E354" s="4"/>
      <c r="I354" t="str">
        <f>IFERROR(MATCH(A354,'Periods 26-25'!$C$2:$C$13,1),"")</f>
        <v/>
      </c>
    </row>
    <row r="355" spans="5:9" x14ac:dyDescent="0.3">
      <c r="E355" s="4"/>
      <c r="I355" t="str">
        <f>IFERROR(MATCH(A355,'Periods 26-25'!$C$2:$C$13,1),"")</f>
        <v/>
      </c>
    </row>
    <row r="356" spans="5:9" x14ac:dyDescent="0.3">
      <c r="E356" s="4"/>
      <c r="I356" t="str">
        <f>IFERROR(MATCH(A356,'Periods 26-25'!$C$2:$C$13,1),"")</f>
        <v/>
      </c>
    </row>
    <row r="357" spans="5:9" x14ac:dyDescent="0.3">
      <c r="E357" s="4"/>
      <c r="I357" t="str">
        <f>IFERROR(MATCH(A357,'Periods 26-25'!$C$2:$C$13,1),"")</f>
        <v/>
      </c>
    </row>
    <row r="358" spans="5:9" x14ac:dyDescent="0.3">
      <c r="E358" s="4"/>
      <c r="I358" t="str">
        <f>IFERROR(MATCH(A358,'Periods 26-25'!$C$2:$C$13,1),"")</f>
        <v/>
      </c>
    </row>
    <row r="359" spans="5:9" x14ac:dyDescent="0.3">
      <c r="E359" s="4"/>
      <c r="I359" t="str">
        <f>IFERROR(MATCH(A359,'Periods 26-25'!$C$2:$C$13,1),"")</f>
        <v/>
      </c>
    </row>
    <row r="360" spans="5:9" x14ac:dyDescent="0.3">
      <c r="E360" s="4"/>
      <c r="I360" t="str">
        <f>IFERROR(MATCH(A360,'Periods 26-25'!$C$2:$C$13,1),"")</f>
        <v/>
      </c>
    </row>
    <row r="361" spans="5:9" x14ac:dyDescent="0.3">
      <c r="E361" s="4"/>
      <c r="I361" t="str">
        <f>IFERROR(MATCH(A361,'Periods 26-25'!$C$2:$C$13,1),"")</f>
        <v/>
      </c>
    </row>
    <row r="362" spans="5:9" x14ac:dyDescent="0.3">
      <c r="E362" s="4"/>
      <c r="I362" t="str">
        <f>IFERROR(MATCH(A362,'Periods 26-25'!$C$2:$C$13,1),"")</f>
        <v/>
      </c>
    </row>
    <row r="363" spans="5:9" x14ac:dyDescent="0.3">
      <c r="E363" s="4"/>
      <c r="I363" t="str">
        <f>IFERROR(MATCH(A363,'Periods 26-25'!$C$2:$C$13,1),"")</f>
        <v/>
      </c>
    </row>
    <row r="364" spans="5:9" x14ac:dyDescent="0.3">
      <c r="E364" s="4"/>
      <c r="I364" t="str">
        <f>IFERROR(MATCH(A364,'Periods 26-25'!$C$2:$C$13,1),"")</f>
        <v/>
      </c>
    </row>
    <row r="365" spans="5:9" x14ac:dyDescent="0.3">
      <c r="E365" s="4"/>
      <c r="I365" t="str">
        <f>IFERROR(MATCH(A365,'Periods 26-25'!$C$2:$C$13,1),"")</f>
        <v/>
      </c>
    </row>
    <row r="366" spans="5:9" x14ac:dyDescent="0.3">
      <c r="E366" s="4"/>
      <c r="I366" t="str">
        <f>IFERROR(MATCH(A366,'Periods 26-25'!$C$2:$C$13,1),"")</f>
        <v/>
      </c>
    </row>
    <row r="367" spans="5:9" x14ac:dyDescent="0.3">
      <c r="E367" s="4"/>
      <c r="I367" t="str">
        <f>IFERROR(MATCH(A367,'Periods 26-25'!$C$2:$C$13,1),"")</f>
        <v/>
      </c>
    </row>
    <row r="368" spans="5:9" x14ac:dyDescent="0.3">
      <c r="E368" s="4"/>
      <c r="I368" t="str">
        <f>IFERROR(MATCH(A368,'Periods 26-25'!$C$2:$C$13,1),"")</f>
        <v/>
      </c>
    </row>
    <row r="369" spans="5:9" x14ac:dyDescent="0.3">
      <c r="E369" s="4"/>
      <c r="I369" t="str">
        <f>IFERROR(MATCH(A369,'Periods 26-25'!$C$2:$C$13,1),"")</f>
        <v/>
      </c>
    </row>
    <row r="370" spans="5:9" x14ac:dyDescent="0.3">
      <c r="E370" s="4"/>
      <c r="I370" t="str">
        <f>IFERROR(MATCH(A370,'Periods 26-25'!$C$2:$C$13,1),"")</f>
        <v/>
      </c>
    </row>
    <row r="371" spans="5:9" x14ac:dyDescent="0.3">
      <c r="E371" s="4"/>
      <c r="I371" t="str">
        <f>IFERROR(MATCH(A371,'Periods 26-25'!$C$2:$C$13,1),"")</f>
        <v/>
      </c>
    </row>
    <row r="372" spans="5:9" x14ac:dyDescent="0.3">
      <c r="E372" s="4"/>
      <c r="I372" t="str">
        <f>IFERROR(MATCH(A372,'Periods 26-25'!$C$2:$C$13,1),"")</f>
        <v/>
      </c>
    </row>
    <row r="373" spans="5:9" x14ac:dyDescent="0.3">
      <c r="E373" s="4"/>
      <c r="I373" t="str">
        <f>IFERROR(MATCH(A373,'Periods 26-25'!$C$2:$C$13,1),"")</f>
        <v/>
      </c>
    </row>
    <row r="374" spans="5:9" x14ac:dyDescent="0.3">
      <c r="E374" s="4"/>
      <c r="I374" t="str">
        <f>IFERROR(MATCH(A374,'Periods 26-25'!$C$2:$C$13,1),"")</f>
        <v/>
      </c>
    </row>
    <row r="375" spans="5:9" x14ac:dyDescent="0.3">
      <c r="E375" s="4"/>
      <c r="I375" t="str">
        <f>IFERROR(MATCH(A375,'Periods 26-25'!$C$2:$C$13,1),"")</f>
        <v/>
      </c>
    </row>
    <row r="376" spans="5:9" x14ac:dyDescent="0.3">
      <c r="E376" s="4"/>
      <c r="I376" t="str">
        <f>IFERROR(MATCH(A376,'Periods 26-25'!$C$2:$C$13,1),"")</f>
        <v/>
      </c>
    </row>
    <row r="377" spans="5:9" x14ac:dyDescent="0.3">
      <c r="E377" s="4"/>
      <c r="I377" t="str">
        <f>IFERROR(MATCH(A377,'Periods 26-25'!$C$2:$C$13,1),"")</f>
        <v/>
      </c>
    </row>
    <row r="378" spans="5:9" x14ac:dyDescent="0.3">
      <c r="E378" s="4"/>
      <c r="I378" t="str">
        <f>IFERROR(MATCH(A378,'Periods 26-25'!$C$2:$C$13,1),"")</f>
        <v/>
      </c>
    </row>
    <row r="379" spans="5:9" x14ac:dyDescent="0.3">
      <c r="E379" s="4"/>
      <c r="I379" t="str">
        <f>IFERROR(MATCH(A379,'Periods 26-25'!$C$2:$C$13,1),"")</f>
        <v/>
      </c>
    </row>
    <row r="380" spans="5:9" x14ac:dyDescent="0.3">
      <c r="E380" s="4"/>
      <c r="I380" t="str">
        <f>IFERROR(MATCH(A380,'Periods 26-25'!$C$2:$C$13,1),"")</f>
        <v/>
      </c>
    </row>
    <row r="381" spans="5:9" x14ac:dyDescent="0.3">
      <c r="E381" s="4"/>
      <c r="I381" t="str">
        <f>IFERROR(MATCH(A381,'Periods 26-25'!$C$2:$C$13,1),"")</f>
        <v/>
      </c>
    </row>
    <row r="382" spans="5:9" x14ac:dyDescent="0.3">
      <c r="E382" s="4"/>
      <c r="I382" t="str">
        <f>IFERROR(MATCH(A382,'Periods 26-25'!$C$2:$C$13,1),"")</f>
        <v/>
      </c>
    </row>
    <row r="383" spans="5:9" x14ac:dyDescent="0.3">
      <c r="E383" s="4"/>
      <c r="I383" t="str">
        <f>IFERROR(MATCH(A383,'Periods 26-25'!$C$2:$C$13,1),"")</f>
        <v/>
      </c>
    </row>
    <row r="384" spans="5:9" x14ac:dyDescent="0.3">
      <c r="E384" s="4"/>
      <c r="I384" t="str">
        <f>IFERROR(MATCH(A384,'Periods 26-25'!$C$2:$C$13,1),"")</f>
        <v/>
      </c>
    </row>
    <row r="385" spans="5:9" x14ac:dyDescent="0.3">
      <c r="E385" s="4"/>
      <c r="I385" t="str">
        <f>IFERROR(MATCH(A385,'Periods 26-25'!$C$2:$C$13,1),"")</f>
        <v/>
      </c>
    </row>
    <row r="386" spans="5:9" x14ac:dyDescent="0.3">
      <c r="E386" s="4"/>
      <c r="I386" t="str">
        <f>IFERROR(MATCH(A386,'Periods 26-25'!$C$2:$C$13,1),"")</f>
        <v/>
      </c>
    </row>
    <row r="387" spans="5:9" x14ac:dyDescent="0.3">
      <c r="E387" s="4"/>
      <c r="I387" t="str">
        <f>IFERROR(MATCH(A387,'Periods 26-25'!$C$2:$C$13,1),"")</f>
        <v/>
      </c>
    </row>
    <row r="388" spans="5:9" x14ac:dyDescent="0.3">
      <c r="E388" s="4"/>
      <c r="I388" t="str">
        <f>IFERROR(MATCH(A388,'Periods 26-25'!$C$2:$C$13,1),"")</f>
        <v/>
      </c>
    </row>
    <row r="389" spans="5:9" x14ac:dyDescent="0.3">
      <c r="E389" s="4"/>
      <c r="I389" t="str">
        <f>IFERROR(MATCH(A389,'Periods 26-25'!$C$2:$C$13,1),"")</f>
        <v/>
      </c>
    </row>
    <row r="390" spans="5:9" x14ac:dyDescent="0.3">
      <c r="E390" s="4"/>
      <c r="I390" t="str">
        <f>IFERROR(MATCH(A390,'Periods 26-25'!$C$2:$C$13,1),"")</f>
        <v/>
      </c>
    </row>
    <row r="391" spans="5:9" x14ac:dyDescent="0.3">
      <c r="E391" s="4"/>
      <c r="I391" t="str">
        <f>IFERROR(MATCH(A391,'Periods 26-25'!$C$2:$C$13,1),"")</f>
        <v/>
      </c>
    </row>
    <row r="392" spans="5:9" x14ac:dyDescent="0.3">
      <c r="E392" s="4"/>
      <c r="I392" t="str">
        <f>IFERROR(MATCH(A392,'Periods 26-25'!$C$2:$C$13,1),"")</f>
        <v/>
      </c>
    </row>
    <row r="393" spans="5:9" x14ac:dyDescent="0.3">
      <c r="E393" s="4"/>
      <c r="I393" t="str">
        <f>IFERROR(MATCH(A393,'Periods 26-25'!$C$2:$C$13,1),"")</f>
        <v/>
      </c>
    </row>
    <row r="394" spans="5:9" x14ac:dyDescent="0.3">
      <c r="E394" s="4"/>
      <c r="I394" t="str">
        <f>IFERROR(MATCH(A394,'Periods 26-25'!$C$2:$C$13,1),"")</f>
        <v/>
      </c>
    </row>
    <row r="395" spans="5:9" x14ac:dyDescent="0.3">
      <c r="E395" s="4"/>
      <c r="I395" t="str">
        <f>IFERROR(MATCH(A395,'Periods 26-25'!$C$2:$C$13,1),"")</f>
        <v/>
      </c>
    </row>
    <row r="396" spans="5:9" x14ac:dyDescent="0.3">
      <c r="E396" s="4"/>
      <c r="I396" t="str">
        <f>IFERROR(MATCH(A396,'Periods 26-25'!$C$2:$C$13,1),"")</f>
        <v/>
      </c>
    </row>
    <row r="397" spans="5:9" x14ac:dyDescent="0.3">
      <c r="E397" s="4"/>
      <c r="I397" t="str">
        <f>IFERROR(MATCH(A397,'Periods 26-25'!$C$2:$C$13,1),"")</f>
        <v/>
      </c>
    </row>
    <row r="398" spans="5:9" x14ac:dyDescent="0.3">
      <c r="E398" s="4"/>
      <c r="I398" t="str">
        <f>IFERROR(MATCH(A398,'Periods 26-25'!$C$2:$C$13,1),"")</f>
        <v/>
      </c>
    </row>
    <row r="399" spans="5:9" x14ac:dyDescent="0.3">
      <c r="E399" s="4"/>
      <c r="I399" t="str">
        <f>IFERROR(MATCH(A399,'Periods 26-25'!$C$2:$C$13,1),"")</f>
        <v/>
      </c>
    </row>
    <row r="400" spans="5:9" x14ac:dyDescent="0.3">
      <c r="E400" s="4"/>
      <c r="I400" t="str">
        <f>IFERROR(MATCH(A400,'Periods 26-25'!$C$2:$C$13,1),"")</f>
        <v/>
      </c>
    </row>
    <row r="401" spans="5:9" x14ac:dyDescent="0.3">
      <c r="E401" s="4"/>
      <c r="I401" t="str">
        <f>IFERROR(MATCH(A401,'Periods 26-25'!$C$2:$C$13,1),"")</f>
        <v/>
      </c>
    </row>
    <row r="402" spans="5:9" x14ac:dyDescent="0.3">
      <c r="E402" s="4"/>
      <c r="I402" t="str">
        <f>IFERROR(MATCH(A402,'Periods 26-25'!$C$2:$C$13,1),"")</f>
        <v/>
      </c>
    </row>
    <row r="403" spans="5:9" x14ac:dyDescent="0.3">
      <c r="E403" s="4"/>
      <c r="I403" t="str">
        <f>IFERROR(MATCH(A403,'Periods 26-25'!$C$2:$C$13,1),"")</f>
        <v/>
      </c>
    </row>
    <row r="404" spans="5:9" x14ac:dyDescent="0.3">
      <c r="E404" s="4"/>
      <c r="I404" t="str">
        <f>IFERROR(MATCH(A404,'Periods 26-25'!$C$2:$C$13,1),"")</f>
        <v/>
      </c>
    </row>
    <row r="405" spans="5:9" x14ac:dyDescent="0.3">
      <c r="E405" s="4"/>
      <c r="I405" t="str">
        <f>IFERROR(MATCH(A405,'Periods 26-25'!$C$2:$C$13,1),"")</f>
        <v/>
      </c>
    </row>
    <row r="406" spans="5:9" x14ac:dyDescent="0.3">
      <c r="E406" s="4"/>
      <c r="I406" t="str">
        <f>IFERROR(MATCH(A406,'Periods 26-25'!$C$2:$C$13,1),"")</f>
        <v/>
      </c>
    </row>
    <row r="407" spans="5:9" x14ac:dyDescent="0.3">
      <c r="E407" s="4"/>
      <c r="I407" t="str">
        <f>IFERROR(MATCH(A407,'Periods 26-25'!$C$2:$C$13,1),"")</f>
        <v/>
      </c>
    </row>
    <row r="408" spans="5:9" x14ac:dyDescent="0.3">
      <c r="E408" s="4"/>
      <c r="I408" t="str">
        <f>IFERROR(MATCH(A408,'Periods 26-25'!$C$2:$C$13,1),"")</f>
        <v/>
      </c>
    </row>
    <row r="409" spans="5:9" x14ac:dyDescent="0.3">
      <c r="E409" s="4"/>
      <c r="I409" t="str">
        <f>IFERROR(MATCH(A409,'Periods 26-25'!$C$2:$C$13,1),"")</f>
        <v/>
      </c>
    </row>
    <row r="410" spans="5:9" x14ac:dyDescent="0.3">
      <c r="E410" s="4"/>
      <c r="I410" t="str">
        <f>IFERROR(MATCH(A410,'Periods 26-25'!$C$2:$C$13,1),"")</f>
        <v/>
      </c>
    </row>
    <row r="411" spans="5:9" x14ac:dyDescent="0.3">
      <c r="E411" s="4"/>
      <c r="I411" t="str">
        <f>IFERROR(MATCH(A411,'Periods 26-25'!$C$2:$C$13,1),"")</f>
        <v/>
      </c>
    </row>
    <row r="412" spans="5:9" x14ac:dyDescent="0.3">
      <c r="E412" s="4"/>
      <c r="I412" t="str">
        <f>IFERROR(MATCH(A412,'Periods 26-25'!$C$2:$C$13,1),"")</f>
        <v/>
      </c>
    </row>
    <row r="413" spans="5:9" x14ac:dyDescent="0.3">
      <c r="E413" s="4"/>
      <c r="I413" t="str">
        <f>IFERROR(MATCH(A413,'Periods 26-25'!$C$2:$C$13,1),"")</f>
        <v/>
      </c>
    </row>
    <row r="414" spans="5:9" x14ac:dyDescent="0.3">
      <c r="E414" s="4"/>
      <c r="I414" t="str">
        <f>IFERROR(MATCH(A414,'Periods 26-25'!$C$2:$C$13,1),"")</f>
        <v/>
      </c>
    </row>
    <row r="415" spans="5:9" x14ac:dyDescent="0.3">
      <c r="E415" s="4"/>
      <c r="I415" t="str">
        <f>IFERROR(MATCH(A415,'Periods 26-25'!$C$2:$C$13,1),"")</f>
        <v/>
      </c>
    </row>
    <row r="416" spans="5:9" x14ac:dyDescent="0.3">
      <c r="E416" s="4"/>
      <c r="I416" t="str">
        <f>IFERROR(MATCH(A416,'Periods 26-25'!$C$2:$C$13,1),"")</f>
        <v/>
      </c>
    </row>
    <row r="417" spans="5:9" x14ac:dyDescent="0.3">
      <c r="E417" s="4"/>
      <c r="I417" t="str">
        <f>IFERROR(MATCH(A417,'Periods 26-25'!$C$2:$C$13,1),"")</f>
        <v/>
      </c>
    </row>
    <row r="418" spans="5:9" x14ac:dyDescent="0.3">
      <c r="E418" s="4"/>
      <c r="I418" t="str">
        <f>IFERROR(MATCH(A418,'Periods 26-25'!$C$2:$C$13,1),"")</f>
        <v/>
      </c>
    </row>
    <row r="419" spans="5:9" x14ac:dyDescent="0.3">
      <c r="E419" s="4"/>
      <c r="I419" t="str">
        <f>IFERROR(MATCH(A419,'Periods 26-25'!$C$2:$C$13,1),"")</f>
        <v/>
      </c>
    </row>
    <row r="420" spans="5:9" x14ac:dyDescent="0.3">
      <c r="E420" s="4"/>
      <c r="I420" t="str">
        <f>IFERROR(MATCH(A420,'Periods 26-25'!$C$2:$C$13,1),"")</f>
        <v/>
      </c>
    </row>
    <row r="421" spans="5:9" x14ac:dyDescent="0.3">
      <c r="E421" s="4"/>
      <c r="I421" t="str">
        <f>IFERROR(MATCH(A421,'Periods 26-25'!$C$2:$C$13,1),"")</f>
        <v/>
      </c>
    </row>
    <row r="422" spans="5:9" x14ac:dyDescent="0.3">
      <c r="E422" s="4"/>
      <c r="I422" t="str">
        <f>IFERROR(MATCH(A422,'Periods 26-25'!$C$2:$C$13,1),"")</f>
        <v/>
      </c>
    </row>
    <row r="423" spans="5:9" x14ac:dyDescent="0.3">
      <c r="E423" s="4"/>
      <c r="I423" t="str">
        <f>IFERROR(MATCH(A423,'Periods 26-25'!$C$2:$C$13,1),"")</f>
        <v/>
      </c>
    </row>
    <row r="424" spans="5:9" x14ac:dyDescent="0.3">
      <c r="E424" s="4"/>
      <c r="I424" t="str">
        <f>IFERROR(MATCH(A424,'Periods 26-25'!$C$2:$C$13,1),"")</f>
        <v/>
      </c>
    </row>
    <row r="425" spans="5:9" x14ac:dyDescent="0.3">
      <c r="E425" s="4"/>
      <c r="I425" t="str">
        <f>IFERROR(MATCH(A425,'Periods 26-25'!$C$2:$C$13,1),"")</f>
        <v/>
      </c>
    </row>
    <row r="426" spans="5:9" x14ac:dyDescent="0.3">
      <c r="E426" s="4"/>
      <c r="I426" t="str">
        <f>IFERROR(MATCH(A426,'Periods 26-25'!$C$2:$C$13,1),"")</f>
        <v/>
      </c>
    </row>
    <row r="427" spans="5:9" x14ac:dyDescent="0.3">
      <c r="E427" s="4"/>
      <c r="I427" t="str">
        <f>IFERROR(MATCH(A427,'Periods 26-25'!$C$2:$C$13,1),"")</f>
        <v/>
      </c>
    </row>
    <row r="428" spans="5:9" x14ac:dyDescent="0.3">
      <c r="E428" s="4"/>
      <c r="I428" t="str">
        <f>IFERROR(MATCH(A428,'Periods 26-25'!$C$2:$C$13,1),"")</f>
        <v/>
      </c>
    </row>
    <row r="429" spans="5:9" x14ac:dyDescent="0.3">
      <c r="E429" s="4"/>
      <c r="I429" t="str">
        <f>IFERROR(MATCH(A429,'Periods 26-25'!$C$2:$C$13,1),"")</f>
        <v/>
      </c>
    </row>
    <row r="430" spans="5:9" x14ac:dyDescent="0.3">
      <c r="E430" s="4"/>
      <c r="I430" t="str">
        <f>IFERROR(MATCH(A430,'Periods 26-25'!$C$2:$C$13,1),"")</f>
        <v/>
      </c>
    </row>
    <row r="431" spans="5:9" x14ac:dyDescent="0.3">
      <c r="E431" s="4"/>
      <c r="I431" t="str">
        <f>IFERROR(MATCH(A431,'Periods 26-25'!$C$2:$C$13,1),"")</f>
        <v/>
      </c>
    </row>
    <row r="432" spans="5:9" x14ac:dyDescent="0.3">
      <c r="E432" s="4"/>
      <c r="I432" t="str">
        <f>IFERROR(MATCH(A432,'Periods 26-25'!$C$2:$C$13,1),"")</f>
        <v/>
      </c>
    </row>
    <row r="433" spans="5:9" x14ac:dyDescent="0.3">
      <c r="E433" s="4"/>
      <c r="I433" t="str">
        <f>IFERROR(MATCH(A433,'Periods 26-25'!$C$2:$C$13,1),"")</f>
        <v/>
      </c>
    </row>
    <row r="434" spans="5:9" x14ac:dyDescent="0.3">
      <c r="E434" s="4"/>
      <c r="I434" t="str">
        <f>IFERROR(MATCH(A434,'Periods 26-25'!$C$2:$C$13,1),"")</f>
        <v/>
      </c>
    </row>
    <row r="435" spans="5:9" x14ac:dyDescent="0.3">
      <c r="E435" s="4"/>
      <c r="I435" t="str">
        <f>IFERROR(MATCH(A435,'Periods 26-25'!$C$2:$C$13,1),"")</f>
        <v/>
      </c>
    </row>
    <row r="436" spans="5:9" x14ac:dyDescent="0.3">
      <c r="E436" s="4"/>
      <c r="I436" t="str">
        <f>IFERROR(MATCH(A436,'Periods 26-25'!$C$2:$C$13,1),"")</f>
        <v/>
      </c>
    </row>
    <row r="437" spans="5:9" x14ac:dyDescent="0.3">
      <c r="E437" s="4"/>
      <c r="I437" t="str">
        <f>IFERROR(MATCH(A437,'Periods 26-25'!$C$2:$C$13,1),"")</f>
        <v/>
      </c>
    </row>
    <row r="438" spans="5:9" x14ac:dyDescent="0.3">
      <c r="E438" s="4"/>
      <c r="I438" t="str">
        <f>IFERROR(MATCH(A438,'Periods 26-25'!$C$2:$C$13,1),"")</f>
        <v/>
      </c>
    </row>
    <row r="439" spans="5:9" x14ac:dyDescent="0.3">
      <c r="E439" s="4"/>
      <c r="I439" t="str">
        <f>IFERROR(MATCH(A439,'Periods 26-25'!$C$2:$C$13,1),"")</f>
        <v/>
      </c>
    </row>
    <row r="440" spans="5:9" x14ac:dyDescent="0.3">
      <c r="E440" s="4"/>
      <c r="I440" t="str">
        <f>IFERROR(MATCH(A440,'Periods 26-25'!$C$2:$C$13,1),"")</f>
        <v/>
      </c>
    </row>
    <row r="441" spans="5:9" x14ac:dyDescent="0.3">
      <c r="E441" s="4"/>
      <c r="I441" t="str">
        <f>IFERROR(MATCH(A441,'Periods 26-25'!$C$2:$C$13,1),"")</f>
        <v/>
      </c>
    </row>
    <row r="442" spans="5:9" x14ac:dyDescent="0.3">
      <c r="E442" s="4"/>
      <c r="I442" t="str">
        <f>IFERROR(MATCH(A442,'Periods 26-25'!$C$2:$C$13,1),"")</f>
        <v/>
      </c>
    </row>
    <row r="443" spans="5:9" x14ac:dyDescent="0.3">
      <c r="E443" s="4"/>
      <c r="I443" t="str">
        <f>IFERROR(MATCH(A443,'Periods 26-25'!$C$2:$C$13,1),"")</f>
        <v/>
      </c>
    </row>
    <row r="444" spans="5:9" x14ac:dyDescent="0.3">
      <c r="E444" s="4"/>
      <c r="I444" t="str">
        <f>IFERROR(MATCH(A444,'Periods 26-25'!$C$2:$C$13,1),"")</f>
        <v/>
      </c>
    </row>
    <row r="445" spans="5:9" x14ac:dyDescent="0.3">
      <c r="E445" s="4"/>
      <c r="I445" t="str">
        <f>IFERROR(MATCH(A445,'Periods 26-25'!$C$2:$C$13,1),"")</f>
        <v/>
      </c>
    </row>
    <row r="446" spans="5:9" x14ac:dyDescent="0.3">
      <c r="E446" s="4"/>
      <c r="I446" t="str">
        <f>IFERROR(MATCH(A446,'Periods 26-25'!$C$2:$C$13,1),"")</f>
        <v/>
      </c>
    </row>
    <row r="447" spans="5:9" x14ac:dyDescent="0.3">
      <c r="E447" s="4"/>
      <c r="I447" t="str">
        <f>IFERROR(MATCH(A447,'Periods 26-25'!$C$2:$C$13,1),"")</f>
        <v/>
      </c>
    </row>
    <row r="448" spans="5:9" x14ac:dyDescent="0.3">
      <c r="E448" s="4"/>
      <c r="I448" t="str">
        <f>IFERROR(MATCH(A448,'Periods 26-25'!$C$2:$C$13,1),"")</f>
        <v/>
      </c>
    </row>
    <row r="449" spans="5:9" x14ac:dyDescent="0.3">
      <c r="E449" s="4"/>
      <c r="I449" t="str">
        <f>IFERROR(MATCH(A449,'Periods 26-25'!$C$2:$C$13,1),"")</f>
        <v/>
      </c>
    </row>
    <row r="450" spans="5:9" x14ac:dyDescent="0.3">
      <c r="E450" s="4"/>
      <c r="I450" t="str">
        <f>IFERROR(MATCH(A450,'Periods 26-25'!$C$2:$C$13,1),"")</f>
        <v/>
      </c>
    </row>
    <row r="451" spans="5:9" x14ac:dyDescent="0.3">
      <c r="E451" s="4"/>
      <c r="I451" t="str">
        <f>IFERROR(MATCH(A451,'Periods 26-25'!$C$2:$C$13,1),"")</f>
        <v/>
      </c>
    </row>
    <row r="452" spans="5:9" x14ac:dyDescent="0.3">
      <c r="E452" s="4"/>
      <c r="I452" t="str">
        <f>IFERROR(MATCH(A452,'Periods 26-25'!$C$2:$C$13,1),"")</f>
        <v/>
      </c>
    </row>
    <row r="453" spans="5:9" x14ac:dyDescent="0.3">
      <c r="E453" s="4"/>
      <c r="I453" t="str">
        <f>IFERROR(MATCH(A453,'Periods 26-25'!$C$2:$C$13,1),"")</f>
        <v/>
      </c>
    </row>
    <row r="454" spans="5:9" x14ac:dyDescent="0.3">
      <c r="E454" s="4"/>
      <c r="I454" t="str">
        <f>IFERROR(MATCH(A454,'Periods 26-25'!$C$2:$C$13,1),"")</f>
        <v/>
      </c>
    </row>
    <row r="455" spans="5:9" x14ac:dyDescent="0.3">
      <c r="E455" s="4"/>
      <c r="I455" t="str">
        <f>IFERROR(MATCH(A455,'Periods 26-25'!$C$2:$C$13,1),"")</f>
        <v/>
      </c>
    </row>
    <row r="456" spans="5:9" x14ac:dyDescent="0.3">
      <c r="E456" s="4"/>
      <c r="I456" t="str">
        <f>IFERROR(MATCH(A456,'Periods 26-25'!$C$2:$C$13,1),"")</f>
        <v/>
      </c>
    </row>
    <row r="457" spans="5:9" x14ac:dyDescent="0.3">
      <c r="E457" s="4"/>
      <c r="I457" t="str">
        <f>IFERROR(MATCH(A457,'Periods 26-25'!$C$2:$C$13,1),"")</f>
        <v/>
      </c>
    </row>
    <row r="458" spans="5:9" x14ac:dyDescent="0.3">
      <c r="E458" s="4"/>
      <c r="I458" t="str">
        <f>IFERROR(MATCH(A458,'Periods 26-25'!$C$2:$C$13,1),"")</f>
        <v/>
      </c>
    </row>
    <row r="459" spans="5:9" x14ac:dyDescent="0.3">
      <c r="E459" s="4"/>
      <c r="I459" t="str">
        <f>IFERROR(MATCH(A459,'Periods 26-25'!$C$2:$C$13,1),"")</f>
        <v/>
      </c>
    </row>
    <row r="460" spans="5:9" x14ac:dyDescent="0.3">
      <c r="E460" s="4"/>
      <c r="I460" t="str">
        <f>IFERROR(MATCH(A460,'Periods 26-25'!$C$2:$C$13,1),"")</f>
        <v/>
      </c>
    </row>
    <row r="461" spans="5:9" x14ac:dyDescent="0.3">
      <c r="E461" s="4"/>
      <c r="I461" t="str">
        <f>IFERROR(MATCH(A461,'Periods 26-25'!$C$2:$C$13,1),"")</f>
        <v/>
      </c>
    </row>
    <row r="462" spans="5:9" x14ac:dyDescent="0.3">
      <c r="E462" s="4"/>
      <c r="I462" t="str">
        <f>IFERROR(MATCH(A462,'Periods 26-25'!$C$2:$C$13,1),"")</f>
        <v/>
      </c>
    </row>
    <row r="463" spans="5:9" x14ac:dyDescent="0.3">
      <c r="E463" s="4"/>
      <c r="I463" t="str">
        <f>IFERROR(MATCH(A463,'Periods 26-25'!$C$2:$C$13,1),"")</f>
        <v/>
      </c>
    </row>
    <row r="464" spans="5:9" x14ac:dyDescent="0.3">
      <c r="E464" s="4"/>
      <c r="I464" t="str">
        <f>IFERROR(MATCH(A464,'Periods 26-25'!$C$2:$C$13,1),"")</f>
        <v/>
      </c>
    </row>
    <row r="465" spans="5:9" x14ac:dyDescent="0.3">
      <c r="E465" s="4"/>
      <c r="I465" t="str">
        <f>IFERROR(MATCH(A465,'Periods 26-25'!$C$2:$C$13,1),"")</f>
        <v/>
      </c>
    </row>
    <row r="466" spans="5:9" x14ac:dyDescent="0.3">
      <c r="E466" s="4"/>
      <c r="I466" t="str">
        <f>IFERROR(MATCH(A466,'Periods 26-25'!$C$2:$C$13,1),"")</f>
        <v/>
      </c>
    </row>
    <row r="467" spans="5:9" x14ac:dyDescent="0.3">
      <c r="E467" s="4"/>
      <c r="I467" t="str">
        <f>IFERROR(MATCH(A467,'Periods 26-25'!$C$2:$C$13,1),"")</f>
        <v/>
      </c>
    </row>
    <row r="468" spans="5:9" x14ac:dyDescent="0.3">
      <c r="E468" s="4"/>
      <c r="I468" t="str">
        <f>IFERROR(MATCH(A468,'Periods 26-25'!$C$2:$C$13,1),"")</f>
        <v/>
      </c>
    </row>
    <row r="469" spans="5:9" x14ac:dyDescent="0.3">
      <c r="E469" s="4"/>
      <c r="I469" t="str">
        <f>IFERROR(MATCH(A469,'Periods 26-25'!$C$2:$C$13,1),"")</f>
        <v/>
      </c>
    </row>
    <row r="470" spans="5:9" x14ac:dyDescent="0.3">
      <c r="E470" s="4"/>
      <c r="I470" t="str">
        <f>IFERROR(MATCH(A470,'Periods 26-25'!$C$2:$C$13,1),"")</f>
        <v/>
      </c>
    </row>
    <row r="471" spans="5:9" x14ac:dyDescent="0.3">
      <c r="E471" s="4"/>
      <c r="I471" t="str">
        <f>IFERROR(MATCH(A471,'Periods 26-25'!$C$2:$C$13,1),"")</f>
        <v/>
      </c>
    </row>
    <row r="472" spans="5:9" x14ac:dyDescent="0.3">
      <c r="E472" s="4"/>
      <c r="I472" t="str">
        <f>IFERROR(MATCH(A472,'Periods 26-25'!$C$2:$C$13,1),"")</f>
        <v/>
      </c>
    </row>
    <row r="473" spans="5:9" x14ac:dyDescent="0.3">
      <c r="E473" s="4"/>
      <c r="I473" t="str">
        <f>IFERROR(MATCH(A473,'Periods 26-25'!$C$2:$C$13,1),"")</f>
        <v/>
      </c>
    </row>
    <row r="474" spans="5:9" x14ac:dyDescent="0.3">
      <c r="E474" s="4"/>
      <c r="I474" t="str">
        <f>IFERROR(MATCH(A474,'Periods 26-25'!$C$2:$C$13,1),"")</f>
        <v/>
      </c>
    </row>
    <row r="475" spans="5:9" x14ac:dyDescent="0.3">
      <c r="E475" s="4"/>
      <c r="I475" t="str">
        <f>IFERROR(MATCH(A475,'Periods 26-25'!$C$2:$C$13,1),"")</f>
        <v/>
      </c>
    </row>
    <row r="476" spans="5:9" x14ac:dyDescent="0.3">
      <c r="E476" s="4"/>
      <c r="I476" t="str">
        <f>IFERROR(MATCH(A476,'Periods 26-25'!$C$2:$C$13,1),"")</f>
        <v/>
      </c>
    </row>
    <row r="477" spans="5:9" x14ac:dyDescent="0.3">
      <c r="E477" s="4"/>
      <c r="I477" t="str">
        <f>IFERROR(MATCH(A477,'Periods 26-25'!$C$2:$C$13,1),"")</f>
        <v/>
      </c>
    </row>
    <row r="478" spans="5:9" x14ac:dyDescent="0.3">
      <c r="E478" s="4"/>
      <c r="I478" t="str">
        <f>IFERROR(MATCH(A478,'Periods 26-25'!$C$2:$C$13,1),"")</f>
        <v/>
      </c>
    </row>
    <row r="479" spans="5:9" x14ac:dyDescent="0.3">
      <c r="E479" s="4"/>
      <c r="I479" t="str">
        <f>IFERROR(MATCH(A479,'Periods 26-25'!$C$2:$C$13,1),"")</f>
        <v/>
      </c>
    </row>
    <row r="480" spans="5:9" x14ac:dyDescent="0.3">
      <c r="E480" s="4"/>
      <c r="I480" t="str">
        <f>IFERROR(MATCH(A480,'Periods 26-25'!$C$2:$C$13,1),"")</f>
        <v/>
      </c>
    </row>
    <row r="481" spans="5:9" x14ac:dyDescent="0.3">
      <c r="E481" s="4"/>
      <c r="I481" t="str">
        <f>IFERROR(MATCH(A481,'Periods 26-25'!$C$2:$C$13,1),"")</f>
        <v/>
      </c>
    </row>
    <row r="482" spans="5:9" x14ac:dyDescent="0.3">
      <c r="E482" s="4"/>
      <c r="I482" t="str">
        <f>IFERROR(MATCH(A482,'Periods 26-25'!$C$2:$C$13,1),"")</f>
        <v/>
      </c>
    </row>
    <row r="483" spans="5:9" x14ac:dyDescent="0.3">
      <c r="E483" s="4"/>
      <c r="I483" t="str">
        <f>IFERROR(MATCH(A483,'Periods 26-25'!$C$2:$C$13,1),"")</f>
        <v/>
      </c>
    </row>
    <row r="484" spans="5:9" x14ac:dyDescent="0.3">
      <c r="E484" s="4"/>
      <c r="I484" t="str">
        <f>IFERROR(MATCH(A484,'Periods 26-25'!$C$2:$C$13,1),"")</f>
        <v/>
      </c>
    </row>
    <row r="485" spans="5:9" x14ac:dyDescent="0.3">
      <c r="E485" s="4"/>
      <c r="I485" t="str">
        <f>IFERROR(MATCH(A485,'Periods 26-25'!$C$2:$C$13,1),"")</f>
        <v/>
      </c>
    </row>
    <row r="486" spans="5:9" x14ac:dyDescent="0.3">
      <c r="E486" s="4"/>
      <c r="I486" t="str">
        <f>IFERROR(MATCH(A486,'Periods 26-25'!$C$2:$C$13,1),"")</f>
        <v/>
      </c>
    </row>
    <row r="487" spans="5:9" x14ac:dyDescent="0.3">
      <c r="E487" s="4"/>
      <c r="I487" t="str">
        <f>IFERROR(MATCH(A487,'Periods 26-25'!$C$2:$C$13,1),"")</f>
        <v/>
      </c>
    </row>
    <row r="488" spans="5:9" x14ac:dyDescent="0.3">
      <c r="E488" s="4"/>
      <c r="I488" t="str">
        <f>IFERROR(MATCH(A488,'Periods 26-25'!$C$2:$C$13,1),"")</f>
        <v/>
      </c>
    </row>
    <row r="489" spans="5:9" x14ac:dyDescent="0.3">
      <c r="E489" s="4"/>
      <c r="I489" t="str">
        <f>IFERROR(MATCH(A489,'Periods 26-25'!$C$2:$C$13,1),"")</f>
        <v/>
      </c>
    </row>
    <row r="490" spans="5:9" x14ac:dyDescent="0.3">
      <c r="E490" s="4"/>
      <c r="I490" t="str">
        <f>IFERROR(MATCH(A490,'Periods 26-25'!$C$2:$C$13,1),"")</f>
        <v/>
      </c>
    </row>
    <row r="491" spans="5:9" x14ac:dyDescent="0.3">
      <c r="E491" s="4"/>
      <c r="I491" t="str">
        <f>IFERROR(MATCH(A491,'Periods 26-25'!$C$2:$C$13,1),"")</f>
        <v/>
      </c>
    </row>
    <row r="492" spans="5:9" x14ac:dyDescent="0.3">
      <c r="E492" s="4"/>
      <c r="I492" t="str">
        <f>IFERROR(MATCH(A492,'Periods 26-25'!$C$2:$C$13,1),"")</f>
        <v/>
      </c>
    </row>
    <row r="493" spans="5:9" x14ac:dyDescent="0.3">
      <c r="E493" s="4"/>
      <c r="I493" t="str">
        <f>IFERROR(MATCH(A493,'Periods 26-25'!$C$2:$C$13,1),"")</f>
        <v/>
      </c>
    </row>
    <row r="494" spans="5:9" x14ac:dyDescent="0.3">
      <c r="E494" s="4"/>
      <c r="I494" t="str">
        <f>IFERROR(MATCH(A494,'Periods 26-25'!$C$2:$C$13,1),"")</f>
        <v/>
      </c>
    </row>
    <row r="495" spans="5:9" x14ac:dyDescent="0.3">
      <c r="E495" s="4"/>
      <c r="I495" t="str">
        <f>IFERROR(MATCH(A495,'Periods 26-25'!$C$2:$C$13,1),"")</f>
        <v/>
      </c>
    </row>
    <row r="496" spans="5:9" x14ac:dyDescent="0.3">
      <c r="E496" s="4"/>
      <c r="I496" t="str">
        <f>IFERROR(MATCH(A496,'Periods 26-25'!$C$2:$C$13,1),"")</f>
        <v/>
      </c>
    </row>
    <row r="497" spans="5:9" x14ac:dyDescent="0.3">
      <c r="E497" s="4"/>
      <c r="I497" t="str">
        <f>IFERROR(MATCH(A497,'Periods 26-25'!$C$2:$C$13,1),"")</f>
        <v/>
      </c>
    </row>
    <row r="498" spans="5:9" x14ac:dyDescent="0.3">
      <c r="E498" s="4"/>
      <c r="I498" t="str">
        <f>IFERROR(MATCH(A498,'Periods 26-25'!$C$2:$C$13,1),"")</f>
        <v/>
      </c>
    </row>
    <row r="499" spans="5:9" x14ac:dyDescent="0.3">
      <c r="E499" s="4"/>
      <c r="I499" t="str">
        <f>IFERROR(MATCH(A499,'Periods 26-25'!$C$2:$C$13,1),"")</f>
        <v/>
      </c>
    </row>
    <row r="500" spans="5:9" x14ac:dyDescent="0.3">
      <c r="E500" s="4"/>
      <c r="I500" t="str">
        <f>IFERROR(MATCH(A500,'Periods 26-25'!$C$2:$C$13,1),"")</f>
        <v/>
      </c>
    </row>
    <row r="501" spans="5:9" x14ac:dyDescent="0.3">
      <c r="E501" s="4"/>
      <c r="I501" t="str">
        <f>IFERROR(MATCH(A501,'Periods 26-25'!$C$2:$C$13,1),"")</f>
        <v/>
      </c>
    </row>
    <row r="502" spans="5:9" x14ac:dyDescent="0.3">
      <c r="E502" s="4"/>
      <c r="I502" t="str">
        <f>IFERROR(MATCH(A502,'Periods 26-25'!$C$2:$C$13,1),"")</f>
        <v/>
      </c>
    </row>
    <row r="503" spans="5:9" x14ac:dyDescent="0.3">
      <c r="E503" s="4"/>
      <c r="I503" t="str">
        <f>IFERROR(MATCH(A503,'Periods 26-25'!$C$2:$C$13,1),"")</f>
        <v/>
      </c>
    </row>
    <row r="504" spans="5:9" x14ac:dyDescent="0.3">
      <c r="E504" s="4"/>
      <c r="I504" t="str">
        <f>IFERROR(MATCH(A504,'Periods 26-25'!$C$2:$C$13,1),"")</f>
        <v/>
      </c>
    </row>
    <row r="505" spans="5:9" x14ac:dyDescent="0.3">
      <c r="E505" s="4"/>
      <c r="I505" t="str">
        <f>IFERROR(MATCH(A505,'Periods 26-25'!$C$2:$C$13,1),"")</f>
        <v/>
      </c>
    </row>
    <row r="506" spans="5:9" x14ac:dyDescent="0.3">
      <c r="E506" s="4"/>
      <c r="I506" t="str">
        <f>IFERROR(MATCH(A506,'Periods 26-25'!$C$2:$C$13,1),"")</f>
        <v/>
      </c>
    </row>
    <row r="507" spans="5:9" x14ac:dyDescent="0.3">
      <c r="E507" s="4"/>
      <c r="I507" t="str">
        <f>IFERROR(MATCH(A507,'Periods 26-25'!$C$2:$C$13,1),"")</f>
        <v/>
      </c>
    </row>
    <row r="508" spans="5:9" x14ac:dyDescent="0.3">
      <c r="E508" s="4"/>
      <c r="I508" t="str">
        <f>IFERROR(MATCH(A508,'Periods 26-25'!$C$2:$C$13,1),"")</f>
        <v/>
      </c>
    </row>
    <row r="509" spans="5:9" x14ac:dyDescent="0.3">
      <c r="E509" s="4"/>
      <c r="I509" t="str">
        <f>IFERROR(MATCH(A509,'Periods 26-25'!$C$2:$C$13,1),"")</f>
        <v/>
      </c>
    </row>
    <row r="510" spans="5:9" x14ac:dyDescent="0.3">
      <c r="E510" s="4"/>
      <c r="I510" t="str">
        <f>IFERROR(MATCH(A510,'Periods 26-25'!$C$2:$C$13,1),"")</f>
        <v/>
      </c>
    </row>
    <row r="511" spans="5:9" x14ac:dyDescent="0.3">
      <c r="E511" s="4"/>
      <c r="I511" t="str">
        <f>IFERROR(MATCH(A511,'Periods 26-25'!$C$2:$C$13,1),"")</f>
        <v/>
      </c>
    </row>
    <row r="512" spans="5:9" x14ac:dyDescent="0.3">
      <c r="E512" s="4"/>
      <c r="I512" t="str">
        <f>IFERROR(MATCH(A512,'Periods 26-25'!$C$2:$C$13,1),"")</f>
        <v/>
      </c>
    </row>
    <row r="513" spans="5:9" x14ac:dyDescent="0.3">
      <c r="E513" s="4"/>
      <c r="I513" t="str">
        <f>IFERROR(MATCH(A513,'Periods 26-25'!$C$2:$C$13,1),"")</f>
        <v/>
      </c>
    </row>
    <row r="514" spans="5:9" x14ac:dyDescent="0.3">
      <c r="E514" s="4"/>
      <c r="I514" t="str">
        <f>IFERROR(MATCH(A514,'Periods 26-25'!$C$2:$C$13,1),"")</f>
        <v/>
      </c>
    </row>
    <row r="515" spans="5:9" x14ac:dyDescent="0.3">
      <c r="E515" s="4"/>
      <c r="I515" t="str">
        <f>IFERROR(MATCH(A515,'Periods 26-25'!$C$2:$C$13,1),"")</f>
        <v/>
      </c>
    </row>
    <row r="516" spans="5:9" x14ac:dyDescent="0.3">
      <c r="E516" s="4"/>
      <c r="I516" t="str">
        <f>IFERROR(MATCH(A516,'Periods 26-25'!$C$2:$C$13,1),"")</f>
        <v/>
      </c>
    </row>
    <row r="517" spans="5:9" x14ac:dyDescent="0.3">
      <c r="E517" s="4"/>
      <c r="I517" t="str">
        <f>IFERROR(MATCH(A517,'Periods 26-25'!$C$2:$C$13,1),"")</f>
        <v/>
      </c>
    </row>
    <row r="518" spans="5:9" x14ac:dyDescent="0.3">
      <c r="E518" s="4"/>
      <c r="I518" t="str">
        <f>IFERROR(MATCH(A518,'Periods 26-25'!$C$2:$C$13,1),"")</f>
        <v/>
      </c>
    </row>
    <row r="519" spans="5:9" x14ac:dyDescent="0.3">
      <c r="E519" s="4"/>
      <c r="I519" t="str">
        <f>IFERROR(MATCH(A519,'Periods 26-25'!$C$2:$C$13,1),"")</f>
        <v/>
      </c>
    </row>
    <row r="520" spans="5:9" x14ac:dyDescent="0.3">
      <c r="E520" s="4"/>
      <c r="I520" t="str">
        <f>IFERROR(MATCH(A520,'Periods 26-25'!$C$2:$C$13,1),"")</f>
        <v/>
      </c>
    </row>
    <row r="521" spans="5:9" x14ac:dyDescent="0.3">
      <c r="E521" s="4"/>
      <c r="I521" t="str">
        <f>IFERROR(MATCH(A521,'Periods 26-25'!$C$2:$C$13,1),"")</f>
        <v/>
      </c>
    </row>
    <row r="522" spans="5:9" x14ac:dyDescent="0.3">
      <c r="E522" s="4"/>
      <c r="I522" t="str">
        <f>IFERROR(MATCH(A522,'Periods 26-25'!$C$2:$C$13,1),"")</f>
        <v/>
      </c>
    </row>
    <row r="523" spans="5:9" x14ac:dyDescent="0.3">
      <c r="E523" s="4"/>
      <c r="I523" t="str">
        <f>IFERROR(MATCH(A523,'Periods 26-25'!$C$2:$C$13,1),"")</f>
        <v/>
      </c>
    </row>
    <row r="524" spans="5:9" x14ac:dyDescent="0.3">
      <c r="E524" s="4"/>
      <c r="I524" t="str">
        <f>IFERROR(MATCH(A524,'Periods 26-25'!$C$2:$C$13,1),"")</f>
        <v/>
      </c>
    </row>
    <row r="525" spans="5:9" x14ac:dyDescent="0.3">
      <c r="E525" s="4"/>
      <c r="I525" t="str">
        <f>IFERROR(MATCH(A525,'Periods 26-25'!$C$2:$C$13,1),"")</f>
        <v/>
      </c>
    </row>
    <row r="526" spans="5:9" x14ac:dyDescent="0.3">
      <c r="E526" s="4"/>
      <c r="I526" t="str">
        <f>IFERROR(MATCH(A526,'Periods 26-25'!$C$2:$C$13,1),"")</f>
        <v/>
      </c>
    </row>
    <row r="527" spans="5:9" x14ac:dyDescent="0.3">
      <c r="E527" s="4"/>
      <c r="I527" t="str">
        <f>IFERROR(MATCH(A527,'Periods 26-25'!$C$2:$C$13,1),"")</f>
        <v/>
      </c>
    </row>
    <row r="528" spans="5:9" x14ac:dyDescent="0.3">
      <c r="E528" s="4"/>
      <c r="I528" t="str">
        <f>IFERROR(MATCH(A528,'Periods 26-25'!$C$2:$C$13,1),"")</f>
        <v/>
      </c>
    </row>
    <row r="529" spans="5:9" x14ac:dyDescent="0.3">
      <c r="E529" s="4"/>
      <c r="I529" t="str">
        <f>IFERROR(MATCH(A529,'Periods 26-25'!$C$2:$C$13,1),"")</f>
        <v/>
      </c>
    </row>
    <row r="530" spans="5:9" x14ac:dyDescent="0.3">
      <c r="E530" s="4"/>
      <c r="I530" t="str">
        <f>IFERROR(MATCH(A530,'Periods 26-25'!$C$2:$C$13,1),"")</f>
        <v/>
      </c>
    </row>
    <row r="531" spans="5:9" x14ac:dyDescent="0.3">
      <c r="E531" s="4"/>
      <c r="I531" t="str">
        <f>IFERROR(MATCH(A531,'Periods 26-25'!$C$2:$C$13,1),"")</f>
        <v/>
      </c>
    </row>
    <row r="532" spans="5:9" x14ac:dyDescent="0.3">
      <c r="E532" s="4"/>
      <c r="I532" t="str">
        <f>IFERROR(MATCH(A532,'Periods 26-25'!$C$2:$C$13,1),"")</f>
        <v/>
      </c>
    </row>
    <row r="533" spans="5:9" x14ac:dyDescent="0.3">
      <c r="E533" s="4"/>
      <c r="I533" t="str">
        <f>IFERROR(MATCH(A533,'Periods 26-25'!$C$2:$C$13,1),"")</f>
        <v/>
      </c>
    </row>
    <row r="534" spans="5:9" x14ac:dyDescent="0.3">
      <c r="E534" s="4"/>
      <c r="I534" t="str">
        <f>IFERROR(MATCH(A534,'Periods 26-25'!$C$2:$C$13,1),"")</f>
        <v/>
      </c>
    </row>
    <row r="535" spans="5:9" x14ac:dyDescent="0.3">
      <c r="E535" s="4"/>
      <c r="I535" t="str">
        <f>IFERROR(MATCH(A535,'Periods 26-25'!$C$2:$C$13,1),"")</f>
        <v/>
      </c>
    </row>
    <row r="536" spans="5:9" x14ac:dyDescent="0.3">
      <c r="E536" s="4"/>
      <c r="I536" t="str">
        <f>IFERROR(MATCH(A536,'Periods 26-25'!$C$2:$C$13,1),"")</f>
        <v/>
      </c>
    </row>
    <row r="537" spans="5:9" x14ac:dyDescent="0.3">
      <c r="E537" s="4"/>
      <c r="I537" t="str">
        <f>IFERROR(MATCH(A537,'Periods 26-25'!$C$2:$C$13,1),"")</f>
        <v/>
      </c>
    </row>
    <row r="538" spans="5:9" x14ac:dyDescent="0.3">
      <c r="E538" s="4"/>
      <c r="I538" t="str">
        <f>IFERROR(MATCH(A538,'Periods 26-25'!$C$2:$C$13,1),"")</f>
        <v/>
      </c>
    </row>
    <row r="539" spans="5:9" x14ac:dyDescent="0.3">
      <c r="E539" s="4"/>
      <c r="I539" t="str">
        <f>IFERROR(MATCH(A539,'Periods 26-25'!$C$2:$C$13,1),"")</f>
        <v/>
      </c>
    </row>
    <row r="540" spans="5:9" x14ac:dyDescent="0.3">
      <c r="E540" s="4"/>
      <c r="I540" t="str">
        <f>IFERROR(MATCH(A540,'Periods 26-25'!$C$2:$C$13,1),"")</f>
        <v/>
      </c>
    </row>
    <row r="541" spans="5:9" x14ac:dyDescent="0.3">
      <c r="E541" s="4"/>
      <c r="I541" t="str">
        <f>IFERROR(MATCH(A541,'Periods 26-25'!$C$2:$C$13,1),"")</f>
        <v/>
      </c>
    </row>
    <row r="542" spans="5:9" x14ac:dyDescent="0.3">
      <c r="E542" s="4"/>
      <c r="I542" t="str">
        <f>IFERROR(MATCH(A542,'Periods 26-25'!$C$2:$C$13,1),"")</f>
        <v/>
      </c>
    </row>
    <row r="543" spans="5:9" x14ac:dyDescent="0.3">
      <c r="E543" s="4"/>
      <c r="I543" t="str">
        <f>IFERROR(MATCH(A543,'Periods 26-25'!$C$2:$C$13,1),"")</f>
        <v/>
      </c>
    </row>
    <row r="544" spans="5:9" x14ac:dyDescent="0.3">
      <c r="E544" s="4"/>
      <c r="I544" t="str">
        <f>IFERROR(MATCH(A544,'Periods 26-25'!$C$2:$C$13,1),"")</f>
        <v/>
      </c>
    </row>
    <row r="545" spans="5:9" x14ac:dyDescent="0.3">
      <c r="E545" s="4"/>
      <c r="I545" t="str">
        <f>IFERROR(MATCH(A545,'Periods 26-25'!$C$2:$C$13,1),"")</f>
        <v/>
      </c>
    </row>
    <row r="546" spans="5:9" x14ac:dyDescent="0.3">
      <c r="E546" s="4"/>
      <c r="I546" t="str">
        <f>IFERROR(MATCH(A546,'Periods 26-25'!$C$2:$C$13,1),"")</f>
        <v/>
      </c>
    </row>
    <row r="547" spans="5:9" x14ac:dyDescent="0.3">
      <c r="E547" s="4"/>
      <c r="I547" t="str">
        <f>IFERROR(MATCH(A547,'Periods 26-25'!$C$2:$C$13,1),"")</f>
        <v/>
      </c>
    </row>
    <row r="548" spans="5:9" x14ac:dyDescent="0.3">
      <c r="E548" s="4"/>
      <c r="I548" t="str">
        <f>IFERROR(MATCH(A548,'Periods 26-25'!$C$2:$C$13,1),"")</f>
        <v/>
      </c>
    </row>
    <row r="549" spans="5:9" x14ac:dyDescent="0.3">
      <c r="E549" s="4"/>
      <c r="I549" t="str">
        <f>IFERROR(MATCH(A549,'Periods 26-25'!$C$2:$C$13,1),"")</f>
        <v/>
      </c>
    </row>
    <row r="550" spans="5:9" x14ac:dyDescent="0.3">
      <c r="E550" s="4"/>
      <c r="I550" t="str">
        <f>IFERROR(MATCH(A550,'Periods 26-25'!$C$2:$C$13,1),"")</f>
        <v/>
      </c>
    </row>
    <row r="551" spans="5:9" x14ac:dyDescent="0.3">
      <c r="E551" s="4"/>
      <c r="I551" t="str">
        <f>IFERROR(MATCH(A551,'Periods 26-25'!$C$2:$C$13,1),"")</f>
        <v/>
      </c>
    </row>
    <row r="552" spans="5:9" x14ac:dyDescent="0.3">
      <c r="E552" s="4"/>
      <c r="I552" t="str">
        <f>IFERROR(MATCH(A552,'Periods 26-25'!$C$2:$C$13,1),"")</f>
        <v/>
      </c>
    </row>
    <row r="553" spans="5:9" x14ac:dyDescent="0.3">
      <c r="E553" s="4"/>
      <c r="I553" t="str">
        <f>IFERROR(MATCH(A553,'Periods 26-25'!$C$2:$C$13,1),"")</f>
        <v/>
      </c>
    </row>
    <row r="554" spans="5:9" x14ac:dyDescent="0.3">
      <c r="E554" s="4"/>
      <c r="I554" t="str">
        <f>IFERROR(MATCH(A554,'Periods 26-25'!$C$2:$C$13,1),"")</f>
        <v/>
      </c>
    </row>
    <row r="555" spans="5:9" x14ac:dyDescent="0.3">
      <c r="E555" s="4"/>
      <c r="I555" t="str">
        <f>IFERROR(MATCH(A555,'Periods 26-25'!$C$2:$C$13,1),"")</f>
        <v/>
      </c>
    </row>
    <row r="556" spans="5:9" x14ac:dyDescent="0.3">
      <c r="E556" s="4"/>
      <c r="I556" t="str">
        <f>IFERROR(MATCH(A556,'Periods 26-25'!$C$2:$C$13,1),"")</f>
        <v/>
      </c>
    </row>
    <row r="557" spans="5:9" x14ac:dyDescent="0.3">
      <c r="E557" s="4"/>
      <c r="I557" t="str">
        <f>IFERROR(MATCH(A557,'Periods 26-25'!$C$2:$C$13,1),"")</f>
        <v/>
      </c>
    </row>
    <row r="558" spans="5:9" x14ac:dyDescent="0.3">
      <c r="E558" s="4"/>
      <c r="I558" t="str">
        <f>IFERROR(MATCH(A558,'Periods 26-25'!$C$2:$C$13,1),"")</f>
        <v/>
      </c>
    </row>
    <row r="559" spans="5:9" x14ac:dyDescent="0.3">
      <c r="E559" s="4"/>
      <c r="I559" t="str">
        <f>IFERROR(MATCH(A559,'Periods 26-25'!$C$2:$C$13,1),"")</f>
        <v/>
      </c>
    </row>
    <row r="560" spans="5:9" x14ac:dyDescent="0.3">
      <c r="E560" s="4"/>
      <c r="I560" t="str">
        <f>IFERROR(MATCH(A560,'Periods 26-25'!$C$2:$C$13,1),"")</f>
        <v/>
      </c>
    </row>
    <row r="561" spans="5:9" x14ac:dyDescent="0.3">
      <c r="E561" s="4"/>
      <c r="I561" t="str">
        <f>IFERROR(MATCH(A561,'Periods 26-25'!$C$2:$C$13,1),"")</f>
        <v/>
      </c>
    </row>
    <row r="562" spans="5:9" x14ac:dyDescent="0.3">
      <c r="E562" s="4"/>
      <c r="I562" t="str">
        <f>IFERROR(MATCH(A562,'Periods 26-25'!$C$2:$C$13,1),"")</f>
        <v/>
      </c>
    </row>
    <row r="563" spans="5:9" x14ac:dyDescent="0.3">
      <c r="E563" s="4"/>
      <c r="I563" t="str">
        <f>IFERROR(MATCH(A563,'Periods 26-25'!$C$2:$C$13,1),"")</f>
        <v/>
      </c>
    </row>
    <row r="564" spans="5:9" x14ac:dyDescent="0.3">
      <c r="E564" s="4"/>
      <c r="I564" t="str">
        <f>IFERROR(MATCH(A564,'Periods 26-25'!$C$2:$C$13,1),"")</f>
        <v/>
      </c>
    </row>
    <row r="565" spans="5:9" x14ac:dyDescent="0.3">
      <c r="E565" s="4"/>
      <c r="I565" t="str">
        <f>IFERROR(MATCH(A565,'Periods 26-25'!$C$2:$C$13,1),"")</f>
        <v/>
      </c>
    </row>
    <row r="566" spans="5:9" x14ac:dyDescent="0.3">
      <c r="E566" s="4"/>
      <c r="I566" t="str">
        <f>IFERROR(MATCH(A566,'Periods 26-25'!$C$2:$C$13,1),"")</f>
        <v/>
      </c>
    </row>
    <row r="567" spans="5:9" x14ac:dyDescent="0.3">
      <c r="E567" s="4"/>
      <c r="I567" t="str">
        <f>IFERROR(MATCH(A567,'Periods 26-25'!$C$2:$C$13,1),"")</f>
        <v/>
      </c>
    </row>
    <row r="568" spans="5:9" x14ac:dyDescent="0.3">
      <c r="E568" s="4"/>
      <c r="I568" t="str">
        <f>IFERROR(MATCH(A568,'Periods 26-25'!$C$2:$C$13,1),"")</f>
        <v/>
      </c>
    </row>
    <row r="569" spans="5:9" x14ac:dyDescent="0.3">
      <c r="E569" s="4"/>
      <c r="I569" t="str">
        <f>IFERROR(MATCH(A569,'Periods 26-25'!$C$2:$C$13,1),"")</f>
        <v/>
      </c>
    </row>
    <row r="570" spans="5:9" x14ac:dyDescent="0.3">
      <c r="E570" s="4"/>
      <c r="I570" t="str">
        <f>IFERROR(MATCH(A570,'Periods 26-25'!$C$2:$C$13,1),"")</f>
        <v/>
      </c>
    </row>
    <row r="571" spans="5:9" x14ac:dyDescent="0.3">
      <c r="E571" s="4"/>
      <c r="I571" t="str">
        <f>IFERROR(MATCH(A571,'Periods 26-25'!$C$2:$C$13,1),"")</f>
        <v/>
      </c>
    </row>
    <row r="572" spans="5:9" x14ac:dyDescent="0.3">
      <c r="E572" s="4"/>
      <c r="I572" t="str">
        <f>IFERROR(MATCH(A572,'Periods 26-25'!$C$2:$C$13,1),"")</f>
        <v/>
      </c>
    </row>
    <row r="573" spans="5:9" x14ac:dyDescent="0.3">
      <c r="E573" s="4"/>
      <c r="I573" t="str">
        <f>IFERROR(MATCH(A573,'Periods 26-25'!$C$2:$C$13,1),"")</f>
        <v/>
      </c>
    </row>
    <row r="574" spans="5:9" x14ac:dyDescent="0.3">
      <c r="E574" s="4"/>
      <c r="I574" t="str">
        <f>IFERROR(MATCH(A574,'Periods 26-25'!$C$2:$C$13,1),"")</f>
        <v/>
      </c>
    </row>
    <row r="575" spans="5:9" x14ac:dyDescent="0.3">
      <c r="E575" s="4"/>
      <c r="I575" t="str">
        <f>IFERROR(MATCH(A575,'Periods 26-25'!$C$2:$C$13,1),"")</f>
        <v/>
      </c>
    </row>
    <row r="576" spans="5:9" x14ac:dyDescent="0.3">
      <c r="E576" s="4"/>
      <c r="I576" t="str">
        <f>IFERROR(MATCH(A576,'Periods 26-25'!$C$2:$C$13,1),"")</f>
        <v/>
      </c>
    </row>
    <row r="577" spans="5:9" x14ac:dyDescent="0.3">
      <c r="E577" s="4"/>
      <c r="I577" t="str">
        <f>IFERROR(MATCH(A577,'Periods 26-25'!$C$2:$C$13,1),"")</f>
        <v/>
      </c>
    </row>
    <row r="578" spans="5:9" x14ac:dyDescent="0.3">
      <c r="E578" s="4"/>
      <c r="I578" t="str">
        <f>IFERROR(MATCH(A578,'Periods 26-25'!$C$2:$C$13,1),"")</f>
        <v/>
      </c>
    </row>
    <row r="579" spans="5:9" x14ac:dyDescent="0.3">
      <c r="E579" s="4"/>
      <c r="I579" t="str">
        <f>IFERROR(MATCH(A579,'Periods 26-25'!$C$2:$C$13,1),"")</f>
        <v/>
      </c>
    </row>
    <row r="580" spans="5:9" x14ac:dyDescent="0.3">
      <c r="E580" s="4"/>
      <c r="I580" t="str">
        <f>IFERROR(MATCH(A580,'Periods 26-25'!$C$2:$C$13,1),"")</f>
        <v/>
      </c>
    </row>
    <row r="581" spans="5:9" x14ac:dyDescent="0.3">
      <c r="E581" s="4"/>
      <c r="I581" t="str">
        <f>IFERROR(MATCH(A581,'Periods 26-25'!$C$2:$C$13,1),"")</f>
        <v/>
      </c>
    </row>
    <row r="582" spans="5:9" x14ac:dyDescent="0.3">
      <c r="E582" s="4"/>
      <c r="I582" t="str">
        <f>IFERROR(MATCH(A582,'Periods 26-25'!$C$2:$C$13,1),"")</f>
        <v/>
      </c>
    </row>
    <row r="583" spans="5:9" x14ac:dyDescent="0.3">
      <c r="E583" s="4"/>
      <c r="I583" t="str">
        <f>IFERROR(MATCH(A583,'Periods 26-25'!$C$2:$C$13,1),"")</f>
        <v/>
      </c>
    </row>
    <row r="584" spans="5:9" x14ac:dyDescent="0.3">
      <c r="E584" s="4"/>
      <c r="I584" t="str">
        <f>IFERROR(MATCH(A584,'Periods 26-25'!$C$2:$C$13,1),"")</f>
        <v/>
      </c>
    </row>
    <row r="585" spans="5:9" x14ac:dyDescent="0.3">
      <c r="E585" s="4"/>
      <c r="I585" t="str">
        <f>IFERROR(MATCH(A585,'Periods 26-25'!$C$2:$C$13,1),"")</f>
        <v/>
      </c>
    </row>
    <row r="586" spans="5:9" x14ac:dyDescent="0.3">
      <c r="E586" s="4"/>
      <c r="I586" t="str">
        <f>IFERROR(MATCH(A586,'Periods 26-25'!$C$2:$C$13,1),"")</f>
        <v/>
      </c>
    </row>
    <row r="587" spans="5:9" x14ac:dyDescent="0.3">
      <c r="E587" s="4"/>
      <c r="I587" t="str">
        <f>IFERROR(MATCH(A587,'Periods 26-25'!$C$2:$C$13,1),"")</f>
        <v/>
      </c>
    </row>
    <row r="588" spans="5:9" x14ac:dyDescent="0.3">
      <c r="E588" s="4"/>
      <c r="I588" t="str">
        <f>IFERROR(MATCH(A588,'Periods 26-25'!$C$2:$C$13,1),"")</f>
        <v/>
      </c>
    </row>
    <row r="589" spans="5:9" x14ac:dyDescent="0.3">
      <c r="E589" s="4"/>
      <c r="I589" t="str">
        <f>IFERROR(MATCH(A589,'Periods 26-25'!$C$2:$C$13,1),"")</f>
        <v/>
      </c>
    </row>
    <row r="590" spans="5:9" x14ac:dyDescent="0.3">
      <c r="E590" s="4"/>
      <c r="I590" t="str">
        <f>IFERROR(MATCH(A590,'Periods 26-25'!$C$2:$C$13,1),"")</f>
        <v/>
      </c>
    </row>
    <row r="591" spans="5:9" x14ac:dyDescent="0.3">
      <c r="E591" s="4"/>
      <c r="I591" t="str">
        <f>IFERROR(MATCH(A591,'Periods 26-25'!$C$2:$C$13,1),"")</f>
        <v/>
      </c>
    </row>
    <row r="592" spans="5:9" x14ac:dyDescent="0.3">
      <c r="E592" s="4"/>
      <c r="I592" t="str">
        <f>IFERROR(MATCH(A592,'Periods 26-25'!$C$2:$C$13,1),"")</f>
        <v/>
      </c>
    </row>
    <row r="593" spans="5:9" x14ac:dyDescent="0.3">
      <c r="E593" s="4"/>
      <c r="I593" t="str">
        <f>IFERROR(MATCH(A593,'Periods 26-25'!$C$2:$C$13,1),"")</f>
        <v/>
      </c>
    </row>
    <row r="594" spans="5:9" x14ac:dyDescent="0.3">
      <c r="E594" s="4"/>
      <c r="I594" t="str">
        <f>IFERROR(MATCH(A594,'Periods 26-25'!$C$2:$C$13,1),"")</f>
        <v/>
      </c>
    </row>
    <row r="595" spans="5:9" x14ac:dyDescent="0.3">
      <c r="E595" s="4"/>
      <c r="I595" t="str">
        <f>IFERROR(MATCH(A595,'Periods 26-25'!$C$2:$C$13,1),"")</f>
        <v/>
      </c>
    </row>
    <row r="596" spans="5:9" x14ac:dyDescent="0.3">
      <c r="E596" s="4"/>
      <c r="I596" t="str">
        <f>IFERROR(MATCH(A596,'Periods 26-25'!$C$2:$C$13,1),"")</f>
        <v/>
      </c>
    </row>
    <row r="597" spans="5:9" x14ac:dyDescent="0.3">
      <c r="E597" s="4"/>
      <c r="I597" t="str">
        <f>IFERROR(MATCH(A597,'Periods 26-25'!$C$2:$C$13,1),"")</f>
        <v/>
      </c>
    </row>
    <row r="598" spans="5:9" x14ac:dyDescent="0.3">
      <c r="E598" s="4"/>
      <c r="I598" t="str">
        <f>IFERROR(MATCH(A598,'Periods 26-25'!$C$2:$C$13,1),"")</f>
        <v/>
      </c>
    </row>
    <row r="599" spans="5:9" x14ac:dyDescent="0.3">
      <c r="E599" s="4"/>
      <c r="I599" t="str">
        <f>IFERROR(MATCH(A599,'Periods 26-25'!$C$2:$C$13,1),"")</f>
        <v/>
      </c>
    </row>
    <row r="600" spans="5:9" x14ac:dyDescent="0.3">
      <c r="E600" s="4"/>
      <c r="I600" t="str">
        <f>IFERROR(MATCH(A600,'Periods 26-25'!$C$2:$C$13,1),"")</f>
        <v/>
      </c>
    </row>
    <row r="601" spans="5:9" x14ac:dyDescent="0.3">
      <c r="E601" s="4"/>
      <c r="I601" t="str">
        <f>IFERROR(MATCH(A601,'Periods 26-25'!$C$2:$C$13,1),"")</f>
        <v/>
      </c>
    </row>
    <row r="602" spans="5:9" x14ac:dyDescent="0.3">
      <c r="E602" s="4"/>
      <c r="I602" t="str">
        <f>IFERROR(MATCH(A602,'Periods 26-25'!$C$2:$C$13,1),"")</f>
        <v/>
      </c>
    </row>
    <row r="603" spans="5:9" x14ac:dyDescent="0.3">
      <c r="E603" s="4"/>
      <c r="I603" t="str">
        <f>IFERROR(MATCH(A603,'Periods 26-25'!$C$2:$C$13,1),"")</f>
        <v/>
      </c>
    </row>
    <row r="604" spans="5:9" x14ac:dyDescent="0.3">
      <c r="E604" s="4"/>
      <c r="I604" t="str">
        <f>IFERROR(MATCH(A604,'Periods 26-25'!$C$2:$C$13,1),"")</f>
        <v/>
      </c>
    </row>
    <row r="605" spans="5:9" x14ac:dyDescent="0.3">
      <c r="E605" s="4"/>
      <c r="I605" t="str">
        <f>IFERROR(MATCH(A605,'Periods 26-25'!$C$2:$C$13,1),"")</f>
        <v/>
      </c>
    </row>
    <row r="606" spans="5:9" x14ac:dyDescent="0.3">
      <c r="E606" s="4"/>
      <c r="I606" t="str">
        <f>IFERROR(MATCH(A606,'Periods 26-25'!$C$2:$C$13,1),"")</f>
        <v/>
      </c>
    </row>
    <row r="607" spans="5:9" x14ac:dyDescent="0.3">
      <c r="E607" s="4"/>
      <c r="I607" t="str">
        <f>IFERROR(MATCH(A607,'Periods 26-25'!$C$2:$C$13,1),"")</f>
        <v/>
      </c>
    </row>
    <row r="608" spans="5:9" x14ac:dyDescent="0.3">
      <c r="E608" s="4"/>
      <c r="I608" t="str">
        <f>IFERROR(MATCH(A608,'Periods 26-25'!$C$2:$C$13,1),"")</f>
        <v/>
      </c>
    </row>
    <row r="609" spans="5:9" x14ac:dyDescent="0.3">
      <c r="E609" s="4"/>
      <c r="I609" t="str">
        <f>IFERROR(MATCH(A609,'Periods 26-25'!$C$2:$C$13,1),"")</f>
        <v/>
      </c>
    </row>
    <row r="610" spans="5:9" x14ac:dyDescent="0.3">
      <c r="E610" s="4"/>
      <c r="I610" t="str">
        <f>IFERROR(MATCH(A610,'Periods 26-25'!$C$2:$C$13,1),"")</f>
        <v/>
      </c>
    </row>
    <row r="611" spans="5:9" x14ac:dyDescent="0.3">
      <c r="E611" s="4"/>
      <c r="I611" t="str">
        <f>IFERROR(MATCH(A611,'Periods 26-25'!$C$2:$C$13,1),"")</f>
        <v/>
      </c>
    </row>
    <row r="612" spans="5:9" x14ac:dyDescent="0.3">
      <c r="E612" s="4"/>
      <c r="I612" t="str">
        <f>IFERROR(MATCH(A612,'Periods 26-25'!$C$2:$C$13,1),"")</f>
        <v/>
      </c>
    </row>
    <row r="613" spans="5:9" x14ac:dyDescent="0.3">
      <c r="E613" s="4"/>
      <c r="I613" t="str">
        <f>IFERROR(MATCH(A613,'Periods 26-25'!$C$2:$C$13,1),"")</f>
        <v/>
      </c>
    </row>
    <row r="614" spans="5:9" x14ac:dyDescent="0.3">
      <c r="E614" s="4"/>
      <c r="I614" t="str">
        <f>IFERROR(MATCH(A614,'Periods 26-25'!$C$2:$C$13,1),"")</f>
        <v/>
      </c>
    </row>
    <row r="615" spans="5:9" x14ac:dyDescent="0.3">
      <c r="E615" s="4"/>
      <c r="I615" t="str">
        <f>IFERROR(MATCH(A615,'Periods 26-25'!$C$2:$C$13,1),"")</f>
        <v/>
      </c>
    </row>
    <row r="616" spans="5:9" x14ac:dyDescent="0.3">
      <c r="E616" s="4"/>
      <c r="I616" t="str">
        <f>IFERROR(MATCH(A616,'Periods 26-25'!$C$2:$C$13,1),"")</f>
        <v/>
      </c>
    </row>
    <row r="617" spans="5:9" x14ac:dyDescent="0.3">
      <c r="E617" s="4"/>
      <c r="I617" t="str">
        <f>IFERROR(MATCH(A617,'Periods 26-25'!$C$2:$C$13,1),"")</f>
        <v/>
      </c>
    </row>
    <row r="618" spans="5:9" x14ac:dyDescent="0.3">
      <c r="E618" s="4"/>
      <c r="I618" t="str">
        <f>IFERROR(MATCH(A618,'Periods 26-25'!$C$2:$C$13,1),"")</f>
        <v/>
      </c>
    </row>
    <row r="619" spans="5:9" x14ac:dyDescent="0.3">
      <c r="E619" s="4"/>
      <c r="I619" t="str">
        <f>IFERROR(MATCH(A619,'Periods 26-25'!$C$2:$C$13,1),"")</f>
        <v/>
      </c>
    </row>
    <row r="620" spans="5:9" x14ac:dyDescent="0.3">
      <c r="E620" s="4"/>
      <c r="I620" t="str">
        <f>IFERROR(MATCH(A620,'Periods 26-25'!$C$2:$C$13,1),"")</f>
        <v/>
      </c>
    </row>
    <row r="621" spans="5:9" x14ac:dyDescent="0.3">
      <c r="E621" s="4"/>
      <c r="I621" t="str">
        <f>IFERROR(MATCH(A621,'Periods 26-25'!$C$2:$C$13,1),"")</f>
        <v/>
      </c>
    </row>
    <row r="622" spans="5:9" x14ac:dyDescent="0.3">
      <c r="E622" s="4"/>
      <c r="I622" t="str">
        <f>IFERROR(MATCH(A622,'Periods 26-25'!$C$2:$C$13,1),"")</f>
        <v/>
      </c>
    </row>
    <row r="623" spans="5:9" x14ac:dyDescent="0.3">
      <c r="E623" s="4"/>
      <c r="I623" t="str">
        <f>IFERROR(MATCH(A623,'Periods 26-25'!$C$2:$C$13,1),"")</f>
        <v/>
      </c>
    </row>
    <row r="624" spans="5:9" x14ac:dyDescent="0.3">
      <c r="E624" s="4"/>
      <c r="I624" t="str">
        <f>IFERROR(MATCH(A624,'Periods 26-25'!$C$2:$C$13,1),"")</f>
        <v/>
      </c>
    </row>
    <row r="625" spans="5:9" x14ac:dyDescent="0.3">
      <c r="E625" s="4"/>
      <c r="I625" t="str">
        <f>IFERROR(MATCH(A625,'Periods 26-25'!$C$2:$C$13,1),"")</f>
        <v/>
      </c>
    </row>
    <row r="626" spans="5:9" x14ac:dyDescent="0.3">
      <c r="E626" s="4"/>
      <c r="I626" t="str">
        <f>IFERROR(MATCH(A626,'Periods 26-25'!$C$2:$C$13,1),"")</f>
        <v/>
      </c>
    </row>
    <row r="627" spans="5:9" x14ac:dyDescent="0.3">
      <c r="E627" s="4"/>
      <c r="I627" t="str">
        <f>IFERROR(MATCH(A627,'Periods 26-25'!$C$2:$C$13,1),"")</f>
        <v/>
      </c>
    </row>
    <row r="628" spans="5:9" x14ac:dyDescent="0.3">
      <c r="E628" s="4"/>
      <c r="I628" t="str">
        <f>IFERROR(MATCH(A628,'Periods 26-25'!$C$2:$C$13,1),"")</f>
        <v/>
      </c>
    </row>
    <row r="629" spans="5:9" x14ac:dyDescent="0.3">
      <c r="E629" s="4"/>
      <c r="I629" t="str">
        <f>IFERROR(MATCH(A629,'Periods 26-25'!$C$2:$C$13,1),"")</f>
        <v/>
      </c>
    </row>
    <row r="630" spans="5:9" x14ac:dyDescent="0.3">
      <c r="E630" s="4"/>
      <c r="I630" t="str">
        <f>IFERROR(MATCH(A630,'Periods 26-25'!$C$2:$C$13,1),"")</f>
        <v/>
      </c>
    </row>
    <row r="631" spans="5:9" x14ac:dyDescent="0.3">
      <c r="E631" s="4"/>
      <c r="I631" t="str">
        <f>IFERROR(MATCH(A631,'Periods 26-25'!$C$2:$C$13,1),"")</f>
        <v/>
      </c>
    </row>
    <row r="632" spans="5:9" x14ac:dyDescent="0.3">
      <c r="E632" s="4"/>
      <c r="I632" t="str">
        <f>IFERROR(MATCH(A632,'Periods 26-25'!$C$2:$C$13,1),"")</f>
        <v/>
      </c>
    </row>
    <row r="633" spans="5:9" x14ac:dyDescent="0.3">
      <c r="E633" s="4"/>
      <c r="I633" t="str">
        <f>IFERROR(MATCH(A633,'Periods 26-25'!$C$2:$C$13,1),"")</f>
        <v/>
      </c>
    </row>
    <row r="634" spans="5:9" x14ac:dyDescent="0.3">
      <c r="E634" s="4"/>
      <c r="I634" t="str">
        <f>IFERROR(MATCH(A634,'Periods 26-25'!$C$2:$C$13,1),"")</f>
        <v/>
      </c>
    </row>
    <row r="635" spans="5:9" x14ac:dyDescent="0.3">
      <c r="E635" s="4"/>
      <c r="I635" t="str">
        <f>IFERROR(MATCH(A635,'Periods 26-25'!$C$2:$C$13,1),"")</f>
        <v/>
      </c>
    </row>
    <row r="636" spans="5:9" x14ac:dyDescent="0.3">
      <c r="E636" s="4"/>
      <c r="I636" t="str">
        <f>IFERROR(MATCH(A636,'Periods 26-25'!$C$2:$C$13,1),"")</f>
        <v/>
      </c>
    </row>
    <row r="637" spans="5:9" x14ac:dyDescent="0.3">
      <c r="E637" s="4"/>
      <c r="I637" t="str">
        <f>IFERROR(MATCH(A637,'Periods 26-25'!$C$2:$C$13,1),"")</f>
        <v/>
      </c>
    </row>
    <row r="638" spans="5:9" x14ac:dyDescent="0.3">
      <c r="E638" s="4"/>
      <c r="I638" t="str">
        <f>IFERROR(MATCH(A638,'Periods 26-25'!$C$2:$C$13,1),"")</f>
        <v/>
      </c>
    </row>
    <row r="639" spans="5:9" x14ac:dyDescent="0.3">
      <c r="E639" s="4"/>
      <c r="I639" t="str">
        <f>IFERROR(MATCH(A639,'Periods 26-25'!$C$2:$C$13,1),"")</f>
        <v/>
      </c>
    </row>
    <row r="640" spans="5:9" x14ac:dyDescent="0.3">
      <c r="E640" s="4"/>
      <c r="I640" t="str">
        <f>IFERROR(MATCH(A640,'Periods 26-25'!$C$2:$C$13,1),"")</f>
        <v/>
      </c>
    </row>
    <row r="641" spans="5:9" x14ac:dyDescent="0.3">
      <c r="E641" s="4"/>
      <c r="I641" t="str">
        <f>IFERROR(MATCH(A641,'Periods 26-25'!$C$2:$C$13,1),"")</f>
        <v/>
      </c>
    </row>
    <row r="642" spans="5:9" x14ac:dyDescent="0.3">
      <c r="E642" s="4"/>
      <c r="I642" t="str">
        <f>IFERROR(MATCH(A642,'Periods 26-25'!$C$2:$C$13,1),"")</f>
        <v/>
      </c>
    </row>
    <row r="643" spans="5:9" x14ac:dyDescent="0.3">
      <c r="E643" s="4"/>
      <c r="I643" t="str">
        <f>IFERROR(MATCH(A643,'Periods 26-25'!$C$2:$C$13,1),"")</f>
        <v/>
      </c>
    </row>
    <row r="644" spans="5:9" x14ac:dyDescent="0.3">
      <c r="E644" s="4"/>
      <c r="I644" t="str">
        <f>IFERROR(MATCH(A644,'Periods 26-25'!$C$2:$C$13,1),"")</f>
        <v/>
      </c>
    </row>
    <row r="645" spans="5:9" x14ac:dyDescent="0.3">
      <c r="E645" s="4"/>
      <c r="I645" t="str">
        <f>IFERROR(MATCH(A645,'Periods 26-25'!$C$2:$C$13,1),"")</f>
        <v/>
      </c>
    </row>
    <row r="646" spans="5:9" x14ac:dyDescent="0.3">
      <c r="E646" s="4"/>
      <c r="I646" t="str">
        <f>IFERROR(MATCH(A646,'Periods 26-25'!$C$2:$C$13,1),"")</f>
        <v/>
      </c>
    </row>
    <row r="647" spans="5:9" x14ac:dyDescent="0.3">
      <c r="E647" s="4"/>
      <c r="I647" t="str">
        <f>IFERROR(MATCH(A647,'Periods 26-25'!$C$2:$C$13,1),"")</f>
        <v/>
      </c>
    </row>
    <row r="648" spans="5:9" x14ac:dyDescent="0.3">
      <c r="E648" s="4"/>
      <c r="I648" t="str">
        <f>IFERROR(MATCH(A648,'Periods 26-25'!$C$2:$C$13,1),"")</f>
        <v/>
      </c>
    </row>
    <row r="649" spans="5:9" x14ac:dyDescent="0.3">
      <c r="E649" s="4"/>
      <c r="I649" t="str">
        <f>IFERROR(MATCH(A649,'Periods 26-25'!$C$2:$C$13,1),"")</f>
        <v/>
      </c>
    </row>
    <row r="650" spans="5:9" x14ac:dyDescent="0.3">
      <c r="E650" s="4"/>
      <c r="I650" t="str">
        <f>IFERROR(MATCH(A650,'Periods 26-25'!$C$2:$C$13,1),"")</f>
        <v/>
      </c>
    </row>
    <row r="651" spans="5:9" x14ac:dyDescent="0.3">
      <c r="E651" s="4"/>
      <c r="I651" t="str">
        <f>IFERROR(MATCH(A651,'Periods 26-25'!$C$2:$C$13,1),"")</f>
        <v/>
      </c>
    </row>
    <row r="652" spans="5:9" x14ac:dyDescent="0.3">
      <c r="E652" s="4"/>
      <c r="I652" t="str">
        <f>IFERROR(MATCH(A652,'Periods 26-25'!$C$2:$C$13,1),"")</f>
        <v/>
      </c>
    </row>
    <row r="653" spans="5:9" x14ac:dyDescent="0.3">
      <c r="E653" s="4"/>
      <c r="I653" t="str">
        <f>IFERROR(MATCH(A653,'Periods 26-25'!$C$2:$C$13,1),"")</f>
        <v/>
      </c>
    </row>
    <row r="654" spans="5:9" x14ac:dyDescent="0.3">
      <c r="E654" s="4"/>
      <c r="I654" t="str">
        <f>IFERROR(MATCH(A654,'Periods 26-25'!$C$2:$C$13,1),"")</f>
        <v/>
      </c>
    </row>
    <row r="655" spans="5:9" x14ac:dyDescent="0.3">
      <c r="E655" s="4"/>
      <c r="I655" t="str">
        <f>IFERROR(MATCH(A655,'Periods 26-25'!$C$2:$C$13,1),"")</f>
        <v/>
      </c>
    </row>
    <row r="656" spans="5:9" x14ac:dyDescent="0.3">
      <c r="E656" s="4"/>
      <c r="I656" t="str">
        <f>IFERROR(MATCH(A656,'Periods 26-25'!$C$2:$C$13,1),"")</f>
        <v/>
      </c>
    </row>
    <row r="657" spans="5:9" x14ac:dyDescent="0.3">
      <c r="E657" s="4"/>
      <c r="I657" t="str">
        <f>IFERROR(MATCH(A657,'Periods 26-25'!$C$2:$C$13,1),"")</f>
        <v/>
      </c>
    </row>
    <row r="658" spans="5:9" x14ac:dyDescent="0.3">
      <c r="E658" s="4"/>
      <c r="I658" t="str">
        <f>IFERROR(MATCH(A658,'Periods 26-25'!$C$2:$C$13,1),"")</f>
        <v/>
      </c>
    </row>
    <row r="659" spans="5:9" x14ac:dyDescent="0.3">
      <c r="E659" s="4"/>
      <c r="I659" t="str">
        <f>IFERROR(MATCH(A659,'Periods 26-25'!$C$2:$C$13,1),"")</f>
        <v/>
      </c>
    </row>
    <row r="660" spans="5:9" x14ac:dyDescent="0.3">
      <c r="E660" s="4"/>
      <c r="I660" t="str">
        <f>IFERROR(MATCH(A660,'Periods 26-25'!$C$2:$C$13,1),"")</f>
        <v/>
      </c>
    </row>
    <row r="661" spans="5:9" x14ac:dyDescent="0.3">
      <c r="E661" s="4"/>
      <c r="I661" t="str">
        <f>IFERROR(MATCH(A661,'Periods 26-25'!$C$2:$C$13,1),"")</f>
        <v/>
      </c>
    </row>
    <row r="662" spans="5:9" x14ac:dyDescent="0.3">
      <c r="E662" s="4"/>
      <c r="I662" t="str">
        <f>IFERROR(MATCH(A662,'Periods 26-25'!$C$2:$C$13,1),"")</f>
        <v/>
      </c>
    </row>
    <row r="663" spans="5:9" x14ac:dyDescent="0.3">
      <c r="E663" s="4"/>
      <c r="I663" t="str">
        <f>IFERROR(MATCH(A663,'Periods 26-25'!$C$2:$C$13,1),"")</f>
        <v/>
      </c>
    </row>
    <row r="664" spans="5:9" x14ac:dyDescent="0.3">
      <c r="E664" s="4"/>
      <c r="I664" t="str">
        <f>IFERROR(MATCH(A664,'Periods 26-25'!$C$2:$C$13,1),"")</f>
        <v/>
      </c>
    </row>
    <row r="665" spans="5:9" x14ac:dyDescent="0.3">
      <c r="E665" s="4"/>
      <c r="I665" t="str">
        <f>IFERROR(MATCH(A665,'Periods 26-25'!$C$2:$C$13,1),"")</f>
        <v/>
      </c>
    </row>
    <row r="666" spans="5:9" x14ac:dyDescent="0.3">
      <c r="E666" s="4"/>
      <c r="I666" t="str">
        <f>IFERROR(MATCH(A666,'Periods 26-25'!$C$2:$C$13,1),"")</f>
        <v/>
      </c>
    </row>
    <row r="667" spans="5:9" x14ac:dyDescent="0.3">
      <c r="E667" s="4"/>
      <c r="I667" t="str">
        <f>IFERROR(MATCH(A667,'Periods 26-25'!$C$2:$C$13,1),"")</f>
        <v/>
      </c>
    </row>
    <row r="668" spans="5:9" x14ac:dyDescent="0.3">
      <c r="E668" s="4"/>
      <c r="I668" t="str">
        <f>IFERROR(MATCH(A668,'Periods 26-25'!$C$2:$C$13,1),"")</f>
        <v/>
      </c>
    </row>
    <row r="669" spans="5:9" x14ac:dyDescent="0.3">
      <c r="E669" s="4"/>
      <c r="I669" t="str">
        <f>IFERROR(MATCH(A669,'Periods 26-25'!$C$2:$C$13,1),"")</f>
        <v/>
      </c>
    </row>
    <row r="670" spans="5:9" x14ac:dyDescent="0.3">
      <c r="E670" s="4"/>
      <c r="I670" t="str">
        <f>IFERROR(MATCH(A670,'Periods 26-25'!$C$2:$C$13,1),"")</f>
        <v/>
      </c>
    </row>
    <row r="671" spans="5:9" x14ac:dyDescent="0.3">
      <c r="E671" s="4"/>
      <c r="I671" t="str">
        <f>IFERROR(MATCH(A671,'Periods 26-25'!$C$2:$C$13,1),"")</f>
        <v/>
      </c>
    </row>
    <row r="672" spans="5:9" x14ac:dyDescent="0.3">
      <c r="E672" s="4"/>
      <c r="I672" t="str">
        <f>IFERROR(MATCH(A672,'Periods 26-25'!$C$2:$C$13,1),"")</f>
        <v/>
      </c>
    </row>
    <row r="673" spans="5:9" x14ac:dyDescent="0.3">
      <c r="E673" s="4"/>
      <c r="I673" t="str">
        <f>IFERROR(MATCH(A673,'Periods 26-25'!$C$2:$C$13,1),"")</f>
        <v/>
      </c>
    </row>
    <row r="674" spans="5:9" x14ac:dyDescent="0.3">
      <c r="E674" s="4"/>
      <c r="I674" t="str">
        <f>IFERROR(MATCH(A674,'Periods 26-25'!$C$2:$C$13,1),"")</f>
        <v/>
      </c>
    </row>
    <row r="675" spans="5:9" x14ac:dyDescent="0.3">
      <c r="E675" s="4"/>
      <c r="I675" t="str">
        <f>IFERROR(MATCH(A675,'Periods 26-25'!$C$2:$C$13,1),"")</f>
        <v/>
      </c>
    </row>
    <row r="676" spans="5:9" x14ac:dyDescent="0.3">
      <c r="E676" s="4"/>
      <c r="I676" t="str">
        <f>IFERROR(MATCH(A676,'Periods 26-25'!$C$2:$C$13,1),"")</f>
        <v/>
      </c>
    </row>
    <row r="677" spans="5:9" x14ac:dyDescent="0.3">
      <c r="E677" s="4"/>
      <c r="I677" t="str">
        <f>IFERROR(MATCH(A677,'Periods 26-25'!$C$2:$C$13,1),"")</f>
        <v/>
      </c>
    </row>
    <row r="678" spans="5:9" x14ac:dyDescent="0.3">
      <c r="E678" s="4"/>
      <c r="I678" t="str">
        <f>IFERROR(MATCH(A678,'Periods 26-25'!$C$2:$C$13,1),"")</f>
        <v/>
      </c>
    </row>
    <row r="679" spans="5:9" x14ac:dyDescent="0.3">
      <c r="E679" s="4"/>
      <c r="I679" t="str">
        <f>IFERROR(MATCH(A679,'Periods 26-25'!$C$2:$C$13,1),"")</f>
        <v/>
      </c>
    </row>
    <row r="680" spans="5:9" x14ac:dyDescent="0.3">
      <c r="E680" s="4"/>
      <c r="I680" t="str">
        <f>IFERROR(MATCH(A680,'Periods 26-25'!$C$2:$C$13,1),"")</f>
        <v/>
      </c>
    </row>
    <row r="681" spans="5:9" x14ac:dyDescent="0.3">
      <c r="E681" s="4"/>
      <c r="I681" t="str">
        <f>IFERROR(MATCH(A681,'Periods 26-25'!$C$2:$C$13,1),"")</f>
        <v/>
      </c>
    </row>
    <row r="682" spans="5:9" x14ac:dyDescent="0.3">
      <c r="E682" s="4"/>
      <c r="I682" t="str">
        <f>IFERROR(MATCH(A682,'Periods 26-25'!$C$2:$C$13,1),"")</f>
        <v/>
      </c>
    </row>
    <row r="683" spans="5:9" x14ac:dyDescent="0.3">
      <c r="E683" s="4"/>
      <c r="I683" t="str">
        <f>IFERROR(MATCH(A683,'Periods 26-25'!$C$2:$C$13,1),"")</f>
        <v/>
      </c>
    </row>
    <row r="684" spans="5:9" x14ac:dyDescent="0.3">
      <c r="E684" s="4"/>
      <c r="I684" t="str">
        <f>IFERROR(MATCH(A684,'Periods 26-25'!$C$2:$C$13,1),"")</f>
        <v/>
      </c>
    </row>
    <row r="685" spans="5:9" x14ac:dyDescent="0.3">
      <c r="E685" s="4"/>
      <c r="I685" t="str">
        <f>IFERROR(MATCH(A685,'Periods 26-25'!$C$2:$C$13,1),"")</f>
        <v/>
      </c>
    </row>
    <row r="686" spans="5:9" x14ac:dyDescent="0.3">
      <c r="E686" s="4"/>
      <c r="I686" t="str">
        <f>IFERROR(MATCH(A686,'Periods 26-25'!$C$2:$C$13,1),"")</f>
        <v/>
      </c>
    </row>
    <row r="687" spans="5:9" x14ac:dyDescent="0.3">
      <c r="E687" s="4"/>
      <c r="I687" t="str">
        <f>IFERROR(MATCH(A687,'Periods 26-25'!$C$2:$C$13,1),"")</f>
        <v/>
      </c>
    </row>
    <row r="688" spans="5:9" x14ac:dyDescent="0.3">
      <c r="E688" s="4"/>
      <c r="I688" t="str">
        <f>IFERROR(MATCH(A688,'Periods 26-25'!$C$2:$C$13,1),"")</f>
        <v/>
      </c>
    </row>
    <row r="689" spans="5:9" x14ac:dyDescent="0.3">
      <c r="E689" s="4"/>
      <c r="I689" t="str">
        <f>IFERROR(MATCH(A689,'Periods 26-25'!$C$2:$C$13,1),"")</f>
        <v/>
      </c>
    </row>
    <row r="690" spans="5:9" x14ac:dyDescent="0.3">
      <c r="E690" s="4"/>
      <c r="I690" t="str">
        <f>IFERROR(MATCH(A690,'Periods 26-25'!$C$2:$C$13,1),"")</f>
        <v/>
      </c>
    </row>
    <row r="691" spans="5:9" x14ac:dyDescent="0.3">
      <c r="E691" s="4"/>
      <c r="I691" t="str">
        <f>IFERROR(MATCH(A691,'Periods 26-25'!$C$2:$C$13,1),"")</f>
        <v/>
      </c>
    </row>
    <row r="692" spans="5:9" x14ac:dyDescent="0.3">
      <c r="E692" s="4"/>
      <c r="I692" t="str">
        <f>IFERROR(MATCH(A692,'Periods 26-25'!$C$2:$C$13,1),"")</f>
        <v/>
      </c>
    </row>
    <row r="693" spans="5:9" x14ac:dyDescent="0.3">
      <c r="E693" s="4"/>
      <c r="I693" t="str">
        <f>IFERROR(MATCH(A693,'Periods 26-25'!$C$2:$C$13,1),"")</f>
        <v/>
      </c>
    </row>
    <row r="694" spans="5:9" x14ac:dyDescent="0.3">
      <c r="E694" s="4"/>
      <c r="I694" t="str">
        <f>IFERROR(MATCH(A694,'Periods 26-25'!$C$2:$C$13,1),"")</f>
        <v/>
      </c>
    </row>
    <row r="695" spans="5:9" x14ac:dyDescent="0.3">
      <c r="E695" s="4"/>
      <c r="I695" t="str">
        <f>IFERROR(MATCH(A695,'Periods 26-25'!$C$2:$C$13,1),"")</f>
        <v/>
      </c>
    </row>
    <row r="696" spans="5:9" x14ac:dyDescent="0.3">
      <c r="E696" s="4"/>
      <c r="I696" t="str">
        <f>IFERROR(MATCH(A696,'Periods 26-25'!$C$2:$C$13,1),"")</f>
        <v/>
      </c>
    </row>
    <row r="697" spans="5:9" x14ac:dyDescent="0.3">
      <c r="E697" s="4"/>
      <c r="I697" t="str">
        <f>IFERROR(MATCH(A697,'Periods 26-25'!$C$2:$C$13,1),"")</f>
        <v/>
      </c>
    </row>
    <row r="698" spans="5:9" x14ac:dyDescent="0.3">
      <c r="E698" s="4"/>
      <c r="I698" t="str">
        <f>IFERROR(MATCH(A698,'Periods 26-25'!$C$2:$C$13,1),"")</f>
        <v/>
      </c>
    </row>
    <row r="699" spans="5:9" x14ac:dyDescent="0.3">
      <c r="E699" s="4"/>
      <c r="I699" t="str">
        <f>IFERROR(MATCH(A699,'Periods 26-25'!$C$2:$C$13,1),"")</f>
        <v/>
      </c>
    </row>
    <row r="700" spans="5:9" x14ac:dyDescent="0.3">
      <c r="E700" s="4"/>
      <c r="I700" t="str">
        <f>IFERROR(MATCH(A700,'Periods 26-25'!$C$2:$C$13,1),"")</f>
        <v/>
      </c>
    </row>
    <row r="701" spans="5:9" x14ac:dyDescent="0.3">
      <c r="E701" s="4"/>
      <c r="I701" t="str">
        <f>IFERROR(MATCH(A701,'Periods 26-25'!$C$2:$C$13,1),"")</f>
        <v/>
      </c>
    </row>
    <row r="702" spans="5:9" x14ac:dyDescent="0.3">
      <c r="E702" s="4"/>
      <c r="I702" t="str">
        <f>IFERROR(MATCH(A702,'Periods 26-25'!$C$2:$C$13,1),"")</f>
        <v/>
      </c>
    </row>
    <row r="703" spans="5:9" x14ac:dyDescent="0.3">
      <c r="E703" s="4"/>
      <c r="I703" t="str">
        <f>IFERROR(MATCH(A703,'Periods 26-25'!$C$2:$C$13,1),"")</f>
        <v/>
      </c>
    </row>
    <row r="704" spans="5:9" x14ac:dyDescent="0.3">
      <c r="E704" s="4"/>
      <c r="I704" t="str">
        <f>IFERROR(MATCH(A704,'Periods 26-25'!$C$2:$C$13,1),"")</f>
        <v/>
      </c>
    </row>
    <row r="705" spans="5:9" x14ac:dyDescent="0.3">
      <c r="E705" s="4"/>
      <c r="I705" t="str">
        <f>IFERROR(MATCH(A705,'Periods 26-25'!$C$2:$C$13,1),"")</f>
        <v/>
      </c>
    </row>
    <row r="706" spans="5:9" x14ac:dyDescent="0.3">
      <c r="E706" s="4"/>
      <c r="I706" t="str">
        <f>IFERROR(MATCH(A706,'Periods 26-25'!$C$2:$C$13,1),"")</f>
        <v/>
      </c>
    </row>
    <row r="707" spans="5:9" x14ac:dyDescent="0.3">
      <c r="E707" s="4"/>
      <c r="I707" t="str">
        <f>IFERROR(MATCH(A707,'Periods 26-25'!$C$2:$C$13,1),"")</f>
        <v/>
      </c>
    </row>
    <row r="708" spans="5:9" x14ac:dyDescent="0.3">
      <c r="E708" s="4"/>
      <c r="I708" t="str">
        <f>IFERROR(MATCH(A708,'Periods 26-25'!$C$2:$C$13,1),"")</f>
        <v/>
      </c>
    </row>
    <row r="709" spans="5:9" x14ac:dyDescent="0.3">
      <c r="E709" s="4"/>
      <c r="I709" t="str">
        <f>IFERROR(MATCH(A709,'Periods 26-25'!$C$2:$C$13,1),"")</f>
        <v/>
      </c>
    </row>
    <row r="710" spans="5:9" x14ac:dyDescent="0.3">
      <c r="E710" s="4"/>
      <c r="I710" t="str">
        <f>IFERROR(MATCH(A710,'Periods 26-25'!$C$2:$C$13,1),"")</f>
        <v/>
      </c>
    </row>
    <row r="711" spans="5:9" x14ac:dyDescent="0.3">
      <c r="E711" s="4"/>
      <c r="I711" t="str">
        <f>IFERROR(MATCH(A711,'Periods 26-25'!$C$2:$C$13,1),"")</f>
        <v/>
      </c>
    </row>
    <row r="712" spans="5:9" x14ac:dyDescent="0.3">
      <c r="E712" s="4"/>
      <c r="I712" t="str">
        <f>IFERROR(MATCH(A712,'Periods 26-25'!$C$2:$C$13,1),"")</f>
        <v/>
      </c>
    </row>
    <row r="713" spans="5:9" x14ac:dyDescent="0.3">
      <c r="E713" s="4"/>
      <c r="I713" t="str">
        <f>IFERROR(MATCH(A713,'Periods 26-25'!$C$2:$C$13,1),"")</f>
        <v/>
      </c>
    </row>
    <row r="714" spans="5:9" x14ac:dyDescent="0.3">
      <c r="E714" s="4"/>
      <c r="I714" t="str">
        <f>IFERROR(MATCH(A714,'Periods 26-25'!$C$2:$C$13,1),"")</f>
        <v/>
      </c>
    </row>
    <row r="715" spans="5:9" x14ac:dyDescent="0.3">
      <c r="E715" s="4"/>
      <c r="I715" t="str">
        <f>IFERROR(MATCH(A715,'Periods 26-25'!$C$2:$C$13,1),"")</f>
        <v/>
      </c>
    </row>
    <row r="716" spans="5:9" x14ac:dyDescent="0.3">
      <c r="E716" s="4"/>
      <c r="I716" t="str">
        <f>IFERROR(MATCH(A716,'Periods 26-25'!$C$2:$C$13,1),"")</f>
        <v/>
      </c>
    </row>
    <row r="717" spans="5:9" x14ac:dyDescent="0.3">
      <c r="E717" s="4"/>
      <c r="I717" t="str">
        <f>IFERROR(MATCH(A717,'Periods 26-25'!$C$2:$C$13,1),"")</f>
        <v/>
      </c>
    </row>
    <row r="718" spans="5:9" x14ac:dyDescent="0.3">
      <c r="E718" s="4"/>
      <c r="I718" t="str">
        <f>IFERROR(MATCH(A718,'Periods 26-25'!$C$2:$C$13,1),"")</f>
        <v/>
      </c>
    </row>
    <row r="719" spans="5:9" x14ac:dyDescent="0.3">
      <c r="E719" s="4"/>
      <c r="I719" t="str">
        <f>IFERROR(MATCH(A719,'Periods 26-25'!$C$2:$C$13,1),"")</f>
        <v/>
      </c>
    </row>
    <row r="720" spans="5:9" x14ac:dyDescent="0.3">
      <c r="E720" s="4"/>
      <c r="I720" t="str">
        <f>IFERROR(MATCH(A720,'Periods 26-25'!$C$2:$C$13,1),"")</f>
        <v/>
      </c>
    </row>
    <row r="721" spans="5:9" x14ac:dyDescent="0.3">
      <c r="E721" s="4"/>
      <c r="I721" t="str">
        <f>IFERROR(MATCH(A721,'Periods 26-25'!$C$2:$C$13,1),"")</f>
        <v/>
      </c>
    </row>
    <row r="722" spans="5:9" x14ac:dyDescent="0.3">
      <c r="E722" s="4"/>
      <c r="I722" t="str">
        <f>IFERROR(MATCH(A722,'Periods 26-25'!$C$2:$C$13,1),"")</f>
        <v/>
      </c>
    </row>
    <row r="723" spans="5:9" x14ac:dyDescent="0.3">
      <c r="E723" s="4"/>
      <c r="I723" t="str">
        <f>IFERROR(MATCH(A723,'Periods 26-25'!$C$2:$C$13,1),"")</f>
        <v/>
      </c>
    </row>
    <row r="724" spans="5:9" x14ac:dyDescent="0.3">
      <c r="E724" s="4"/>
      <c r="I724" t="str">
        <f>IFERROR(MATCH(A724,'Periods 26-25'!$C$2:$C$13,1),"")</f>
        <v/>
      </c>
    </row>
    <row r="725" spans="5:9" x14ac:dyDescent="0.3">
      <c r="E725" s="4"/>
      <c r="I725" t="str">
        <f>IFERROR(MATCH(A725,'Periods 26-25'!$C$2:$C$13,1),"")</f>
        <v/>
      </c>
    </row>
    <row r="726" spans="5:9" x14ac:dyDescent="0.3">
      <c r="E726" s="4"/>
      <c r="I726" t="str">
        <f>IFERROR(MATCH(A726,'Periods 26-25'!$C$2:$C$13,1),"")</f>
        <v/>
      </c>
    </row>
    <row r="727" spans="5:9" x14ac:dyDescent="0.3">
      <c r="E727" s="4"/>
      <c r="I727" t="str">
        <f>IFERROR(MATCH(A727,'Periods 26-25'!$C$2:$C$13,1),"")</f>
        <v/>
      </c>
    </row>
    <row r="728" spans="5:9" x14ac:dyDescent="0.3">
      <c r="E728" s="4"/>
      <c r="I728" t="str">
        <f>IFERROR(MATCH(A728,'Periods 26-25'!$C$2:$C$13,1),"")</f>
        <v/>
      </c>
    </row>
    <row r="729" spans="5:9" x14ac:dyDescent="0.3">
      <c r="E729" s="4"/>
      <c r="I729" t="str">
        <f>IFERROR(MATCH(A729,'Periods 26-25'!$C$2:$C$13,1),"")</f>
        <v/>
      </c>
    </row>
    <row r="730" spans="5:9" x14ac:dyDescent="0.3">
      <c r="E730" s="4"/>
      <c r="I730" t="str">
        <f>IFERROR(MATCH(A730,'Periods 26-25'!$C$2:$C$13,1),"")</f>
        <v/>
      </c>
    </row>
    <row r="731" spans="5:9" x14ac:dyDescent="0.3">
      <c r="E731" s="4"/>
      <c r="I731" t="str">
        <f>IFERROR(MATCH(A731,'Periods 26-25'!$C$2:$C$13,1),"")</f>
        <v/>
      </c>
    </row>
    <row r="732" spans="5:9" x14ac:dyDescent="0.3">
      <c r="E732" s="4"/>
      <c r="I732" t="str">
        <f>IFERROR(MATCH(A732,'Periods 26-25'!$C$2:$C$13,1),"")</f>
        <v/>
      </c>
    </row>
    <row r="733" spans="5:9" x14ac:dyDescent="0.3">
      <c r="E733" s="4"/>
      <c r="I733" t="str">
        <f>IFERROR(MATCH(A733,'Periods 26-25'!$C$2:$C$13,1),"")</f>
        <v/>
      </c>
    </row>
    <row r="734" spans="5:9" x14ac:dyDescent="0.3">
      <c r="E734" s="4"/>
      <c r="I734" t="str">
        <f>IFERROR(MATCH(A734,'Periods 26-25'!$C$2:$C$13,1),"")</f>
        <v/>
      </c>
    </row>
    <row r="735" spans="5:9" x14ac:dyDescent="0.3">
      <c r="E735" s="4"/>
      <c r="I735" t="str">
        <f>IFERROR(MATCH(A735,'Periods 26-25'!$C$2:$C$13,1),"")</f>
        <v/>
      </c>
    </row>
    <row r="736" spans="5:9" x14ac:dyDescent="0.3">
      <c r="E736" s="4"/>
      <c r="I736" t="str">
        <f>IFERROR(MATCH(A736,'Periods 26-25'!$C$2:$C$13,1),"")</f>
        <v/>
      </c>
    </row>
    <row r="737" spans="5:9" x14ac:dyDescent="0.3">
      <c r="E737" s="4"/>
      <c r="I737" t="str">
        <f>IFERROR(MATCH(A737,'Periods 26-25'!$C$2:$C$13,1),"")</f>
        <v/>
      </c>
    </row>
    <row r="738" spans="5:9" x14ac:dyDescent="0.3">
      <c r="E738" s="4"/>
      <c r="I738" t="str">
        <f>IFERROR(MATCH(A738,'Periods 26-25'!$C$2:$C$13,1),"")</f>
        <v/>
      </c>
    </row>
    <row r="739" spans="5:9" x14ac:dyDescent="0.3">
      <c r="E739" s="4"/>
      <c r="I739" t="str">
        <f>IFERROR(MATCH(A739,'Periods 26-25'!$C$2:$C$13,1),"")</f>
        <v/>
      </c>
    </row>
    <row r="740" spans="5:9" x14ac:dyDescent="0.3">
      <c r="E740" s="4"/>
      <c r="I740" t="str">
        <f>IFERROR(MATCH(A740,'Periods 26-25'!$C$2:$C$13,1),"")</f>
        <v/>
      </c>
    </row>
    <row r="741" spans="5:9" x14ac:dyDescent="0.3">
      <c r="E741" s="4"/>
      <c r="I741" t="str">
        <f>IFERROR(MATCH(A741,'Periods 26-25'!$C$2:$C$13,1),"")</f>
        <v/>
      </c>
    </row>
    <row r="742" spans="5:9" x14ac:dyDescent="0.3">
      <c r="E742" s="4"/>
      <c r="I742" t="str">
        <f>IFERROR(MATCH(A742,'Periods 26-25'!$C$2:$C$13,1),"")</f>
        <v/>
      </c>
    </row>
    <row r="743" spans="5:9" x14ac:dyDescent="0.3">
      <c r="E743" s="4"/>
      <c r="I743" t="str">
        <f>IFERROR(MATCH(A743,'Periods 26-25'!$C$2:$C$13,1),"")</f>
        <v/>
      </c>
    </row>
    <row r="744" spans="5:9" x14ac:dyDescent="0.3">
      <c r="E744" s="4"/>
      <c r="I744" t="str">
        <f>IFERROR(MATCH(A744,'Periods 26-25'!$C$2:$C$13,1),"")</f>
        <v/>
      </c>
    </row>
    <row r="745" spans="5:9" x14ac:dyDescent="0.3">
      <c r="E745" s="4"/>
      <c r="I745" t="str">
        <f>IFERROR(MATCH(A745,'Periods 26-25'!$C$2:$C$13,1),"")</f>
        <v/>
      </c>
    </row>
    <row r="746" spans="5:9" x14ac:dyDescent="0.3">
      <c r="E746" s="4"/>
      <c r="I746" t="str">
        <f>IFERROR(MATCH(A746,'Periods 26-25'!$C$2:$C$13,1),"")</f>
        <v/>
      </c>
    </row>
    <row r="747" spans="5:9" x14ac:dyDescent="0.3">
      <c r="E747" s="4"/>
      <c r="I747" t="str">
        <f>IFERROR(MATCH(A747,'Periods 26-25'!$C$2:$C$13,1),"")</f>
        <v/>
      </c>
    </row>
    <row r="748" spans="5:9" x14ac:dyDescent="0.3">
      <c r="E748" s="4"/>
      <c r="I748" t="str">
        <f>IFERROR(MATCH(A748,'Periods 26-25'!$C$2:$C$13,1),"")</f>
        <v/>
      </c>
    </row>
    <row r="749" spans="5:9" x14ac:dyDescent="0.3">
      <c r="E749" s="4"/>
      <c r="I749" t="str">
        <f>IFERROR(MATCH(A749,'Periods 26-25'!$C$2:$C$13,1),"")</f>
        <v/>
      </c>
    </row>
    <row r="750" spans="5:9" x14ac:dyDescent="0.3">
      <c r="E750" s="4"/>
      <c r="I750" t="str">
        <f>IFERROR(MATCH(A750,'Periods 26-25'!$C$2:$C$13,1),"")</f>
        <v/>
      </c>
    </row>
    <row r="751" spans="5:9" x14ac:dyDescent="0.3">
      <c r="E751" s="4"/>
      <c r="I751" t="str">
        <f>IFERROR(MATCH(A751,'Periods 26-25'!$C$2:$C$13,1),"")</f>
        <v/>
      </c>
    </row>
    <row r="752" spans="5:9" x14ac:dyDescent="0.3">
      <c r="E752" s="4"/>
      <c r="I752" t="str">
        <f>IFERROR(MATCH(A752,'Periods 26-25'!$C$2:$C$13,1),"")</f>
        <v/>
      </c>
    </row>
    <row r="753" spans="5:9" x14ac:dyDescent="0.3">
      <c r="E753" s="4"/>
      <c r="I753" t="str">
        <f>IFERROR(MATCH(A753,'Periods 26-25'!$C$2:$C$13,1),"")</f>
        <v/>
      </c>
    </row>
    <row r="754" spans="5:9" x14ac:dyDescent="0.3">
      <c r="E754" s="4"/>
      <c r="I754" t="str">
        <f>IFERROR(MATCH(A754,'Periods 26-25'!$C$2:$C$13,1),"")</f>
        <v/>
      </c>
    </row>
    <row r="755" spans="5:9" x14ac:dyDescent="0.3">
      <c r="E755" s="4"/>
      <c r="I755" t="str">
        <f>IFERROR(MATCH(A755,'Periods 26-25'!$C$2:$C$13,1),"")</f>
        <v/>
      </c>
    </row>
    <row r="756" spans="5:9" x14ac:dyDescent="0.3">
      <c r="E756" s="4"/>
      <c r="I756" t="str">
        <f>IFERROR(MATCH(A756,'Periods 26-25'!$C$2:$C$13,1),"")</f>
        <v/>
      </c>
    </row>
    <row r="757" spans="5:9" x14ac:dyDescent="0.3">
      <c r="E757" s="4"/>
      <c r="I757" t="str">
        <f>IFERROR(MATCH(A757,'Periods 26-25'!$C$2:$C$13,1),"")</f>
        <v/>
      </c>
    </row>
    <row r="758" spans="5:9" x14ac:dyDescent="0.3">
      <c r="E758" s="4"/>
      <c r="I758" t="str">
        <f>IFERROR(MATCH(A758,'Periods 26-25'!$C$2:$C$13,1),"")</f>
        <v/>
      </c>
    </row>
    <row r="759" spans="5:9" x14ac:dyDescent="0.3">
      <c r="E759" s="4"/>
      <c r="I759" t="str">
        <f>IFERROR(MATCH(A759,'Periods 26-25'!$C$2:$C$13,1),"")</f>
        <v/>
      </c>
    </row>
    <row r="760" spans="5:9" x14ac:dyDescent="0.3">
      <c r="E760" s="4"/>
      <c r="I760" t="str">
        <f>IFERROR(MATCH(A760,'Periods 26-25'!$C$2:$C$13,1),"")</f>
        <v/>
      </c>
    </row>
    <row r="761" spans="5:9" x14ac:dyDescent="0.3">
      <c r="E761" s="4"/>
      <c r="I761" t="str">
        <f>IFERROR(MATCH(A761,'Periods 26-25'!$C$2:$C$13,1),"")</f>
        <v/>
      </c>
    </row>
    <row r="762" spans="5:9" x14ac:dyDescent="0.3">
      <c r="E762" s="4"/>
      <c r="I762" t="str">
        <f>IFERROR(MATCH(A762,'Periods 26-25'!$C$2:$C$13,1),"")</f>
        <v/>
      </c>
    </row>
    <row r="763" spans="5:9" x14ac:dyDescent="0.3">
      <c r="E763" s="4"/>
      <c r="I763" t="str">
        <f>IFERROR(MATCH(A763,'Periods 26-25'!$C$2:$C$13,1),"")</f>
        <v/>
      </c>
    </row>
    <row r="764" spans="5:9" x14ac:dyDescent="0.3">
      <c r="E764" s="4"/>
      <c r="I764" t="str">
        <f>IFERROR(MATCH(A764,'Periods 26-25'!$C$2:$C$13,1),"")</f>
        <v/>
      </c>
    </row>
    <row r="765" spans="5:9" x14ac:dyDescent="0.3">
      <c r="E765" s="4"/>
      <c r="I765" t="str">
        <f>IFERROR(MATCH(A765,'Periods 26-25'!$C$2:$C$13,1),"")</f>
        <v/>
      </c>
    </row>
    <row r="766" spans="5:9" x14ac:dyDescent="0.3">
      <c r="E766" s="4"/>
      <c r="I766" t="str">
        <f>IFERROR(MATCH(A766,'Periods 26-25'!$C$2:$C$13,1),"")</f>
        <v/>
      </c>
    </row>
    <row r="767" spans="5:9" x14ac:dyDescent="0.3">
      <c r="E767" s="4"/>
      <c r="I767" t="str">
        <f>IFERROR(MATCH(A767,'Periods 26-25'!$C$2:$C$13,1),"")</f>
        <v/>
      </c>
    </row>
    <row r="768" spans="5:9" x14ac:dyDescent="0.3">
      <c r="E768" s="4"/>
      <c r="I768" t="str">
        <f>IFERROR(MATCH(A768,'Periods 26-25'!$C$2:$C$13,1),"")</f>
        <v/>
      </c>
    </row>
    <row r="769" spans="5:9" x14ac:dyDescent="0.3">
      <c r="E769" s="4"/>
      <c r="I769" t="str">
        <f>IFERROR(MATCH(A769,'Periods 26-25'!$C$2:$C$13,1),"")</f>
        <v/>
      </c>
    </row>
    <row r="770" spans="5:9" x14ac:dyDescent="0.3">
      <c r="E770" s="4"/>
      <c r="I770" t="str">
        <f>IFERROR(MATCH(A770,'Periods 26-25'!$C$2:$C$13,1),"")</f>
        <v/>
      </c>
    </row>
    <row r="771" spans="5:9" x14ac:dyDescent="0.3">
      <c r="E771" s="4"/>
      <c r="I771" t="str">
        <f>IFERROR(MATCH(A771,'Periods 26-25'!$C$2:$C$13,1),"")</f>
        <v/>
      </c>
    </row>
    <row r="772" spans="5:9" x14ac:dyDescent="0.3">
      <c r="E772" s="4"/>
      <c r="I772" t="str">
        <f>IFERROR(MATCH(A772,'Periods 26-25'!$C$2:$C$13,1),"")</f>
        <v/>
      </c>
    </row>
    <row r="773" spans="5:9" x14ac:dyDescent="0.3">
      <c r="E773" s="4"/>
      <c r="I773" t="str">
        <f>IFERROR(MATCH(A773,'Periods 26-25'!$C$2:$C$13,1),"")</f>
        <v/>
      </c>
    </row>
    <row r="774" spans="5:9" x14ac:dyDescent="0.3">
      <c r="E774" s="4"/>
      <c r="I774" t="str">
        <f>IFERROR(MATCH(A774,'Periods 26-25'!$C$2:$C$13,1),"")</f>
        <v/>
      </c>
    </row>
    <row r="775" spans="5:9" x14ac:dyDescent="0.3">
      <c r="E775" s="4"/>
      <c r="I775" t="str">
        <f>IFERROR(MATCH(A775,'Periods 26-25'!$C$2:$C$13,1),"")</f>
        <v/>
      </c>
    </row>
    <row r="776" spans="5:9" x14ac:dyDescent="0.3">
      <c r="E776" s="4"/>
      <c r="I776" t="str">
        <f>IFERROR(MATCH(A776,'Periods 26-25'!$C$2:$C$13,1),"")</f>
        <v/>
      </c>
    </row>
    <row r="777" spans="5:9" x14ac:dyDescent="0.3">
      <c r="E777" s="4"/>
      <c r="I777" t="str">
        <f>IFERROR(MATCH(A777,'Periods 26-25'!$C$2:$C$13,1),"")</f>
        <v/>
      </c>
    </row>
    <row r="778" spans="5:9" x14ac:dyDescent="0.3">
      <c r="E778" s="4"/>
      <c r="I778" t="str">
        <f>IFERROR(MATCH(A778,'Periods 26-25'!$C$2:$C$13,1),"")</f>
        <v/>
      </c>
    </row>
    <row r="779" spans="5:9" x14ac:dyDescent="0.3">
      <c r="E779" s="4"/>
      <c r="I779" t="str">
        <f>IFERROR(MATCH(A779,'Periods 26-25'!$C$2:$C$13,1),"")</f>
        <v/>
      </c>
    </row>
    <row r="780" spans="5:9" x14ac:dyDescent="0.3">
      <c r="E780" s="4"/>
      <c r="I780" t="str">
        <f>IFERROR(MATCH(A780,'Periods 26-25'!$C$2:$C$13,1),"")</f>
        <v/>
      </c>
    </row>
    <row r="781" spans="5:9" x14ac:dyDescent="0.3">
      <c r="E781" s="4"/>
      <c r="I781" t="str">
        <f>IFERROR(MATCH(A781,'Periods 26-25'!$C$2:$C$13,1),"")</f>
        <v/>
      </c>
    </row>
    <row r="782" spans="5:9" x14ac:dyDescent="0.3">
      <c r="E782" s="4"/>
      <c r="I782" t="str">
        <f>IFERROR(MATCH(A782,'Periods 26-25'!$C$2:$C$13,1),"")</f>
        <v/>
      </c>
    </row>
    <row r="783" spans="5:9" x14ac:dyDescent="0.3">
      <c r="E783" s="4"/>
      <c r="I783" t="str">
        <f>IFERROR(MATCH(A783,'Periods 26-25'!$C$2:$C$13,1),"")</f>
        <v/>
      </c>
    </row>
    <row r="784" spans="5:9" x14ac:dyDescent="0.3">
      <c r="E784" s="4"/>
      <c r="I784" t="str">
        <f>IFERROR(MATCH(A784,'Periods 26-25'!$C$2:$C$13,1),"")</f>
        <v/>
      </c>
    </row>
    <row r="785" spans="5:9" x14ac:dyDescent="0.3">
      <c r="E785" s="4"/>
      <c r="I785" t="str">
        <f>IFERROR(MATCH(A785,'Periods 26-25'!$C$2:$C$13,1),"")</f>
        <v/>
      </c>
    </row>
    <row r="786" spans="5:9" x14ac:dyDescent="0.3">
      <c r="E786" s="4"/>
      <c r="I786" t="str">
        <f>IFERROR(MATCH(A786,'Periods 26-25'!$C$2:$C$13,1),"")</f>
        <v/>
      </c>
    </row>
    <row r="787" spans="5:9" x14ac:dyDescent="0.3">
      <c r="E787" s="4"/>
      <c r="I787" t="str">
        <f>IFERROR(MATCH(A787,'Periods 26-25'!$C$2:$C$13,1),"")</f>
        <v/>
      </c>
    </row>
    <row r="788" spans="5:9" x14ac:dyDescent="0.3">
      <c r="E788" s="4"/>
      <c r="I788" t="str">
        <f>IFERROR(MATCH(A788,'Periods 26-25'!$C$2:$C$13,1),"")</f>
        <v/>
      </c>
    </row>
    <row r="789" spans="5:9" x14ac:dyDescent="0.3">
      <c r="E789" s="4"/>
      <c r="I789" t="str">
        <f>IFERROR(MATCH(A789,'Periods 26-25'!$C$2:$C$13,1),"")</f>
        <v/>
      </c>
    </row>
    <row r="790" spans="5:9" x14ac:dyDescent="0.3">
      <c r="E790" s="4"/>
      <c r="I790" t="str">
        <f>IFERROR(MATCH(A790,'Periods 26-25'!$C$2:$C$13,1),"")</f>
        <v/>
      </c>
    </row>
    <row r="791" spans="5:9" x14ac:dyDescent="0.3">
      <c r="E791" s="4"/>
      <c r="I791" t="str">
        <f>IFERROR(MATCH(A791,'Periods 26-25'!$C$2:$C$13,1),"")</f>
        <v/>
      </c>
    </row>
    <row r="792" spans="5:9" x14ac:dyDescent="0.3">
      <c r="E792" s="4"/>
      <c r="I792" t="str">
        <f>IFERROR(MATCH(A792,'Periods 26-25'!$C$2:$C$13,1),"")</f>
        <v/>
      </c>
    </row>
    <row r="793" spans="5:9" x14ac:dyDescent="0.3">
      <c r="E793" s="4"/>
      <c r="I793" t="str">
        <f>IFERROR(MATCH(A793,'Periods 26-25'!$C$2:$C$13,1),"")</f>
        <v/>
      </c>
    </row>
    <row r="794" spans="5:9" x14ac:dyDescent="0.3">
      <c r="E794" s="4"/>
      <c r="I794" t="str">
        <f>IFERROR(MATCH(A794,'Periods 26-25'!$C$2:$C$13,1),"")</f>
        <v/>
      </c>
    </row>
    <row r="795" spans="5:9" x14ac:dyDescent="0.3">
      <c r="E795" s="4"/>
      <c r="I795" t="str">
        <f>IFERROR(MATCH(A795,'Periods 26-25'!$C$2:$C$13,1),"")</f>
        <v/>
      </c>
    </row>
    <row r="796" spans="5:9" x14ac:dyDescent="0.3">
      <c r="E796" s="4"/>
      <c r="I796" t="str">
        <f>IFERROR(MATCH(A796,'Periods 26-25'!$C$2:$C$13,1),"")</f>
        <v/>
      </c>
    </row>
    <row r="797" spans="5:9" x14ac:dyDescent="0.3">
      <c r="E797" s="4"/>
      <c r="I797" t="str">
        <f>IFERROR(MATCH(A797,'Periods 26-25'!$C$2:$C$13,1),"")</f>
        <v/>
      </c>
    </row>
    <row r="798" spans="5:9" x14ac:dyDescent="0.3">
      <c r="E798" s="4"/>
      <c r="I798" t="str">
        <f>IFERROR(MATCH(A798,'Periods 26-25'!$C$2:$C$13,1),"")</f>
        <v/>
      </c>
    </row>
    <row r="799" spans="5:9" x14ac:dyDescent="0.3">
      <c r="E799" s="4"/>
      <c r="I799" t="str">
        <f>IFERROR(MATCH(A799,'Periods 26-25'!$C$2:$C$13,1),"")</f>
        <v/>
      </c>
    </row>
    <row r="800" spans="5:9" x14ac:dyDescent="0.3">
      <c r="E800" s="4"/>
      <c r="I800" t="str">
        <f>IFERROR(MATCH(A800,'Periods 26-25'!$C$2:$C$13,1),"")</f>
        <v/>
      </c>
    </row>
    <row r="801" spans="5:9" x14ac:dyDescent="0.3">
      <c r="E801" s="4"/>
      <c r="I801" t="str">
        <f>IFERROR(MATCH(A801,'Periods 26-25'!$C$2:$C$13,1),"")</f>
        <v/>
      </c>
    </row>
    <row r="802" spans="5:9" x14ac:dyDescent="0.3">
      <c r="E802" s="4"/>
      <c r="I802" t="str">
        <f>IFERROR(MATCH(A802,'Periods 26-25'!$C$2:$C$13,1),"")</f>
        <v/>
      </c>
    </row>
    <row r="803" spans="5:9" x14ac:dyDescent="0.3">
      <c r="E803" s="4"/>
      <c r="I803" t="str">
        <f>IFERROR(MATCH(A803,'Periods 26-25'!$C$2:$C$13,1),"")</f>
        <v/>
      </c>
    </row>
    <row r="804" spans="5:9" x14ac:dyDescent="0.3">
      <c r="E804" s="4"/>
      <c r="I804" t="str">
        <f>IFERROR(MATCH(A804,'Periods 26-25'!$C$2:$C$13,1),"")</f>
        <v/>
      </c>
    </row>
    <row r="805" spans="5:9" x14ac:dyDescent="0.3">
      <c r="E805" s="4"/>
      <c r="I805" t="str">
        <f>IFERROR(MATCH(A805,'Periods 26-25'!$C$2:$C$13,1),"")</f>
        <v/>
      </c>
    </row>
    <row r="806" spans="5:9" x14ac:dyDescent="0.3">
      <c r="E806" s="4"/>
      <c r="I806" t="str">
        <f>IFERROR(MATCH(A806,'Periods 26-25'!$C$2:$C$13,1),"")</f>
        <v/>
      </c>
    </row>
    <row r="807" spans="5:9" x14ac:dyDescent="0.3">
      <c r="E807" s="4"/>
      <c r="I807" t="str">
        <f>IFERROR(MATCH(A807,'Periods 26-25'!$C$2:$C$13,1),"")</f>
        <v/>
      </c>
    </row>
    <row r="808" spans="5:9" x14ac:dyDescent="0.3">
      <c r="E808" s="4"/>
      <c r="I808" t="str">
        <f>IFERROR(MATCH(A808,'Periods 26-25'!$C$2:$C$13,1),"")</f>
        <v/>
      </c>
    </row>
    <row r="809" spans="5:9" x14ac:dyDescent="0.3">
      <c r="E809" s="4"/>
      <c r="I809" t="str">
        <f>IFERROR(MATCH(A809,'Periods 26-25'!$C$2:$C$13,1),"")</f>
        <v/>
      </c>
    </row>
    <row r="810" spans="5:9" x14ac:dyDescent="0.3">
      <c r="E810" s="4"/>
      <c r="I810" t="str">
        <f>IFERROR(MATCH(A810,'Periods 26-25'!$C$2:$C$13,1),"")</f>
        <v/>
      </c>
    </row>
    <row r="811" spans="5:9" x14ac:dyDescent="0.3">
      <c r="E811" s="4"/>
      <c r="I811" t="str">
        <f>IFERROR(MATCH(A811,'Periods 26-25'!$C$2:$C$13,1),"")</f>
        <v/>
      </c>
    </row>
    <row r="812" spans="5:9" x14ac:dyDescent="0.3">
      <c r="E812" s="4"/>
      <c r="I812" t="str">
        <f>IFERROR(MATCH(A812,'Periods 26-25'!$C$2:$C$13,1),"")</f>
        <v/>
      </c>
    </row>
    <row r="813" spans="5:9" x14ac:dyDescent="0.3">
      <c r="E813" s="4"/>
      <c r="I813" t="str">
        <f>IFERROR(MATCH(A813,'Periods 26-25'!$C$2:$C$13,1),"")</f>
        <v/>
      </c>
    </row>
    <row r="814" spans="5:9" x14ac:dyDescent="0.3">
      <c r="E814" s="4"/>
      <c r="I814" t="str">
        <f>IFERROR(MATCH(A814,'Periods 26-25'!$C$2:$C$13,1),"")</f>
        <v/>
      </c>
    </row>
    <row r="815" spans="5:9" x14ac:dyDescent="0.3">
      <c r="E815" s="4"/>
      <c r="I815" t="str">
        <f>IFERROR(MATCH(A815,'Periods 26-25'!$C$2:$C$13,1),"")</f>
        <v/>
      </c>
    </row>
    <row r="816" spans="5:9" x14ac:dyDescent="0.3">
      <c r="E816" s="4"/>
      <c r="I816" t="str">
        <f>IFERROR(MATCH(A816,'Periods 26-25'!$C$2:$C$13,1),"")</f>
        <v/>
      </c>
    </row>
    <row r="817" spans="5:9" x14ac:dyDescent="0.3">
      <c r="E817" s="4"/>
      <c r="I817" t="str">
        <f>IFERROR(MATCH(A817,'Periods 26-25'!$C$2:$C$13,1),"")</f>
        <v/>
      </c>
    </row>
    <row r="818" spans="5:9" x14ac:dyDescent="0.3">
      <c r="E818" s="4"/>
      <c r="I818" t="str">
        <f>IFERROR(MATCH(A818,'Periods 26-25'!$C$2:$C$13,1),"")</f>
        <v/>
      </c>
    </row>
    <row r="819" spans="5:9" x14ac:dyDescent="0.3">
      <c r="E819" s="4"/>
      <c r="I819" t="str">
        <f>IFERROR(MATCH(A819,'Periods 26-25'!$C$2:$C$13,1),"")</f>
        <v/>
      </c>
    </row>
    <row r="820" spans="5:9" x14ac:dyDescent="0.3">
      <c r="E820" s="4"/>
      <c r="I820" t="str">
        <f>IFERROR(MATCH(A820,'Periods 26-25'!$C$2:$C$13,1),"")</f>
        <v/>
      </c>
    </row>
    <row r="821" spans="5:9" x14ac:dyDescent="0.3">
      <c r="E821" s="4"/>
      <c r="I821" t="str">
        <f>IFERROR(MATCH(A821,'Periods 26-25'!$C$2:$C$13,1),"")</f>
        <v/>
      </c>
    </row>
    <row r="822" spans="5:9" x14ac:dyDescent="0.3">
      <c r="E822" s="4"/>
      <c r="I822" t="str">
        <f>IFERROR(MATCH(A822,'Periods 26-25'!$C$2:$C$13,1),"")</f>
        <v/>
      </c>
    </row>
    <row r="823" spans="5:9" x14ac:dyDescent="0.3">
      <c r="E823" s="4"/>
      <c r="I823" t="str">
        <f>IFERROR(MATCH(A823,'Periods 26-25'!$C$2:$C$13,1),"")</f>
        <v/>
      </c>
    </row>
    <row r="824" spans="5:9" x14ac:dyDescent="0.3">
      <c r="E824" s="4"/>
      <c r="I824" t="str">
        <f>IFERROR(MATCH(A824,'Periods 26-25'!$C$2:$C$13,1),"")</f>
        <v/>
      </c>
    </row>
    <row r="825" spans="5:9" x14ac:dyDescent="0.3">
      <c r="E825" s="4"/>
      <c r="I825" t="str">
        <f>IFERROR(MATCH(A825,'Periods 26-25'!$C$2:$C$13,1),"")</f>
        <v/>
      </c>
    </row>
    <row r="826" spans="5:9" x14ac:dyDescent="0.3">
      <c r="E826" s="4"/>
      <c r="I826" t="str">
        <f>IFERROR(MATCH(A826,'Periods 26-25'!$C$2:$C$13,1),"")</f>
        <v/>
      </c>
    </row>
    <row r="827" spans="5:9" x14ac:dyDescent="0.3">
      <c r="E827" s="4"/>
      <c r="I827" t="str">
        <f>IFERROR(MATCH(A827,'Periods 26-25'!$C$2:$C$13,1),"")</f>
        <v/>
      </c>
    </row>
    <row r="828" spans="5:9" x14ac:dyDescent="0.3">
      <c r="E828" s="4"/>
      <c r="I828" t="str">
        <f>IFERROR(MATCH(A828,'Periods 26-25'!$C$2:$C$13,1),"")</f>
        <v/>
      </c>
    </row>
    <row r="829" spans="5:9" x14ac:dyDescent="0.3">
      <c r="E829" s="4"/>
      <c r="I829" t="str">
        <f>IFERROR(MATCH(A829,'Periods 26-25'!$C$2:$C$13,1),"")</f>
        <v/>
      </c>
    </row>
    <row r="830" spans="5:9" x14ac:dyDescent="0.3">
      <c r="E830" s="4"/>
      <c r="I830" t="str">
        <f>IFERROR(MATCH(A830,'Periods 26-25'!$C$2:$C$13,1),"")</f>
        <v/>
      </c>
    </row>
    <row r="831" spans="5:9" x14ac:dyDescent="0.3">
      <c r="E831" s="4"/>
      <c r="I831" t="str">
        <f>IFERROR(MATCH(A831,'Periods 26-25'!$C$2:$C$13,1),"")</f>
        <v/>
      </c>
    </row>
    <row r="832" spans="5:9" x14ac:dyDescent="0.3">
      <c r="E832" s="4"/>
      <c r="I832" t="str">
        <f>IFERROR(MATCH(A832,'Periods 26-25'!$C$2:$C$13,1),"")</f>
        <v/>
      </c>
    </row>
    <row r="833" spans="5:9" x14ac:dyDescent="0.3">
      <c r="E833" s="4"/>
      <c r="I833" t="str">
        <f>IFERROR(MATCH(A833,'Periods 26-25'!$C$2:$C$13,1),"")</f>
        <v/>
      </c>
    </row>
    <row r="834" spans="5:9" x14ac:dyDescent="0.3">
      <c r="E834" s="4"/>
      <c r="I834" t="str">
        <f>IFERROR(MATCH(A834,'Periods 26-25'!$C$2:$C$13,1),"")</f>
        <v/>
      </c>
    </row>
    <row r="835" spans="5:9" x14ac:dyDescent="0.3">
      <c r="E835" s="4"/>
      <c r="I835" t="str">
        <f>IFERROR(MATCH(A835,'Periods 26-25'!$C$2:$C$13,1),"")</f>
        <v/>
      </c>
    </row>
    <row r="836" spans="5:9" x14ac:dyDescent="0.3">
      <c r="E836" s="4"/>
      <c r="I836" t="str">
        <f>IFERROR(MATCH(A836,'Periods 26-25'!$C$2:$C$13,1),"")</f>
        <v/>
      </c>
    </row>
    <row r="837" spans="5:9" x14ac:dyDescent="0.3">
      <c r="E837" s="4"/>
      <c r="I837" t="str">
        <f>IFERROR(MATCH(A837,'Periods 26-25'!$C$2:$C$13,1),"")</f>
        <v/>
      </c>
    </row>
    <row r="838" spans="5:9" x14ac:dyDescent="0.3">
      <c r="E838" s="4"/>
      <c r="I838" t="str">
        <f>IFERROR(MATCH(A838,'Periods 26-25'!$C$2:$C$13,1),"")</f>
        <v/>
      </c>
    </row>
    <row r="839" spans="5:9" x14ac:dyDescent="0.3">
      <c r="E839" s="4"/>
      <c r="I839" t="str">
        <f>IFERROR(MATCH(A839,'Periods 26-25'!$C$2:$C$13,1),"")</f>
        <v/>
      </c>
    </row>
    <row r="840" spans="5:9" x14ac:dyDescent="0.3">
      <c r="E840" s="4"/>
      <c r="I840" t="str">
        <f>IFERROR(MATCH(A840,'Periods 26-25'!$C$2:$C$13,1),"")</f>
        <v/>
      </c>
    </row>
    <row r="841" spans="5:9" x14ac:dyDescent="0.3">
      <c r="E841" s="4"/>
      <c r="I841" t="str">
        <f>IFERROR(MATCH(A841,'Periods 26-25'!$C$2:$C$13,1),"")</f>
        <v/>
      </c>
    </row>
    <row r="842" spans="5:9" x14ac:dyDescent="0.3">
      <c r="E842" s="4"/>
      <c r="I842" t="str">
        <f>IFERROR(MATCH(A842,'Periods 26-25'!$C$2:$C$13,1),"")</f>
        <v/>
      </c>
    </row>
    <row r="843" spans="5:9" x14ac:dyDescent="0.3">
      <c r="E843" s="4"/>
      <c r="I843" t="str">
        <f>IFERROR(MATCH(A843,'Periods 26-25'!$C$2:$C$13,1),"")</f>
        <v/>
      </c>
    </row>
    <row r="844" spans="5:9" x14ac:dyDescent="0.3">
      <c r="E844" s="4"/>
      <c r="I844" t="str">
        <f>IFERROR(MATCH(A844,'Periods 26-25'!$C$2:$C$13,1),"")</f>
        <v/>
      </c>
    </row>
    <row r="845" spans="5:9" x14ac:dyDescent="0.3">
      <c r="E845" s="4"/>
      <c r="I845" t="str">
        <f>IFERROR(MATCH(A845,'Periods 26-25'!$C$2:$C$13,1),"")</f>
        <v/>
      </c>
    </row>
    <row r="846" spans="5:9" x14ac:dyDescent="0.3">
      <c r="E846" s="4"/>
      <c r="I846" t="str">
        <f>IFERROR(MATCH(A846,'Periods 26-25'!$C$2:$C$13,1),"")</f>
        <v/>
      </c>
    </row>
    <row r="847" spans="5:9" x14ac:dyDescent="0.3">
      <c r="E847" s="4"/>
      <c r="I847" t="str">
        <f>IFERROR(MATCH(A847,'Periods 26-25'!$C$2:$C$13,1),"")</f>
        <v/>
      </c>
    </row>
    <row r="848" spans="5:9" x14ac:dyDescent="0.3">
      <c r="E848" s="4"/>
      <c r="I848" t="str">
        <f>IFERROR(MATCH(A848,'Periods 26-25'!$C$2:$C$13,1),"")</f>
        <v/>
      </c>
    </row>
    <row r="849" spans="5:9" x14ac:dyDescent="0.3">
      <c r="E849" s="4"/>
      <c r="I849" t="str">
        <f>IFERROR(MATCH(A849,'Periods 26-25'!$C$2:$C$13,1),"")</f>
        <v/>
      </c>
    </row>
    <row r="850" spans="5:9" x14ac:dyDescent="0.3">
      <c r="E850" s="4"/>
      <c r="I850" t="str">
        <f>IFERROR(MATCH(A850,'Periods 26-25'!$C$2:$C$13,1),"")</f>
        <v/>
      </c>
    </row>
    <row r="851" spans="5:9" x14ac:dyDescent="0.3">
      <c r="E851" s="4"/>
      <c r="I851" t="str">
        <f>IFERROR(MATCH(A851,'Periods 26-25'!$C$2:$C$13,1),"")</f>
        <v/>
      </c>
    </row>
    <row r="852" spans="5:9" x14ac:dyDescent="0.3">
      <c r="E852" s="4"/>
      <c r="I852" t="str">
        <f>IFERROR(MATCH(A852,'Periods 26-25'!$C$2:$C$13,1),"")</f>
        <v/>
      </c>
    </row>
    <row r="853" spans="5:9" x14ac:dyDescent="0.3">
      <c r="E853" s="4"/>
      <c r="I853" t="str">
        <f>IFERROR(MATCH(A853,'Periods 26-25'!$C$2:$C$13,1),"")</f>
        <v/>
      </c>
    </row>
    <row r="854" spans="5:9" x14ac:dyDescent="0.3">
      <c r="E854" s="4"/>
      <c r="I854" t="str">
        <f>IFERROR(MATCH(A854,'Periods 26-25'!$C$2:$C$13,1),"")</f>
        <v/>
      </c>
    </row>
    <row r="855" spans="5:9" x14ac:dyDescent="0.3">
      <c r="E855" s="4"/>
      <c r="I855" t="str">
        <f>IFERROR(MATCH(A855,'Periods 26-25'!$C$2:$C$13,1),"")</f>
        <v/>
      </c>
    </row>
    <row r="856" spans="5:9" x14ac:dyDescent="0.3">
      <c r="E856" s="4"/>
      <c r="I856" t="str">
        <f>IFERROR(MATCH(A856,'Periods 26-25'!$C$2:$C$13,1),"")</f>
        <v/>
      </c>
    </row>
    <row r="857" spans="5:9" x14ac:dyDescent="0.3">
      <c r="E857" s="4"/>
      <c r="I857" t="str">
        <f>IFERROR(MATCH(A857,'Periods 26-25'!$C$2:$C$13,1),"")</f>
        <v/>
      </c>
    </row>
    <row r="858" spans="5:9" x14ac:dyDescent="0.3">
      <c r="E858" s="4"/>
      <c r="I858" t="str">
        <f>IFERROR(MATCH(A858,'Periods 26-25'!$C$2:$C$13,1),"")</f>
        <v/>
      </c>
    </row>
    <row r="859" spans="5:9" x14ac:dyDescent="0.3">
      <c r="E859" s="4"/>
      <c r="I859" t="str">
        <f>IFERROR(MATCH(A859,'Periods 26-25'!$C$2:$C$13,1),"")</f>
        <v/>
      </c>
    </row>
    <row r="860" spans="5:9" x14ac:dyDescent="0.3">
      <c r="E860" s="4"/>
      <c r="I860" t="str">
        <f>IFERROR(MATCH(A860,'Periods 26-25'!$C$2:$C$13,1),"")</f>
        <v/>
      </c>
    </row>
    <row r="861" spans="5:9" x14ac:dyDescent="0.3">
      <c r="E861" s="4"/>
      <c r="I861" t="str">
        <f>IFERROR(MATCH(A861,'Periods 26-25'!$C$2:$C$13,1),"")</f>
        <v/>
      </c>
    </row>
    <row r="862" spans="5:9" x14ac:dyDescent="0.3">
      <c r="E862" s="4"/>
      <c r="I862" t="str">
        <f>IFERROR(MATCH(A862,'Periods 26-25'!$C$2:$C$13,1),"")</f>
        <v/>
      </c>
    </row>
    <row r="863" spans="5:9" x14ac:dyDescent="0.3">
      <c r="E863" s="4"/>
      <c r="I863" t="str">
        <f>IFERROR(MATCH(A863,'Periods 26-25'!$C$2:$C$13,1),"")</f>
        <v/>
      </c>
    </row>
    <row r="864" spans="5:9" x14ac:dyDescent="0.3">
      <c r="E864" s="4"/>
      <c r="I864" t="str">
        <f>IFERROR(MATCH(A864,'Periods 26-25'!$C$2:$C$13,1),"")</f>
        <v/>
      </c>
    </row>
    <row r="865" spans="5:9" x14ac:dyDescent="0.3">
      <c r="E865" s="4"/>
      <c r="I865" t="str">
        <f>IFERROR(MATCH(A865,'Periods 26-25'!$C$2:$C$13,1),"")</f>
        <v/>
      </c>
    </row>
    <row r="866" spans="5:9" x14ac:dyDescent="0.3">
      <c r="E866" s="4"/>
      <c r="I866" t="str">
        <f>IFERROR(MATCH(A866,'Periods 26-25'!$C$2:$C$13,1),"")</f>
        <v/>
      </c>
    </row>
    <row r="867" spans="5:9" x14ac:dyDescent="0.3">
      <c r="E867" s="4"/>
      <c r="I867" t="str">
        <f>IFERROR(MATCH(A867,'Periods 26-25'!$C$2:$C$13,1),"")</f>
        <v/>
      </c>
    </row>
    <row r="868" spans="5:9" x14ac:dyDescent="0.3">
      <c r="E868" s="4"/>
      <c r="I868" t="str">
        <f>IFERROR(MATCH(A868,'Periods 26-25'!$C$2:$C$13,1),"")</f>
        <v/>
      </c>
    </row>
    <row r="869" spans="5:9" x14ac:dyDescent="0.3">
      <c r="E869" s="4"/>
      <c r="I869" t="str">
        <f>IFERROR(MATCH(A869,'Periods 26-25'!$C$2:$C$13,1),"")</f>
        <v/>
      </c>
    </row>
    <row r="870" spans="5:9" x14ac:dyDescent="0.3">
      <c r="E870" s="4"/>
      <c r="I870" t="str">
        <f>IFERROR(MATCH(A870,'Periods 26-25'!$C$2:$C$13,1),"")</f>
        <v/>
      </c>
    </row>
    <row r="871" spans="5:9" x14ac:dyDescent="0.3">
      <c r="E871" s="4"/>
      <c r="I871" t="str">
        <f>IFERROR(MATCH(A871,'Periods 26-25'!$C$2:$C$13,1),"")</f>
        <v/>
      </c>
    </row>
    <row r="872" spans="5:9" x14ac:dyDescent="0.3">
      <c r="E872" s="4"/>
      <c r="I872" t="str">
        <f>IFERROR(MATCH(A872,'Periods 26-25'!$C$2:$C$13,1),"")</f>
        <v/>
      </c>
    </row>
    <row r="873" spans="5:9" x14ac:dyDescent="0.3">
      <c r="E873" s="4"/>
      <c r="I873" t="str">
        <f>IFERROR(MATCH(A873,'Periods 26-25'!$C$2:$C$13,1),"")</f>
        <v/>
      </c>
    </row>
    <row r="874" spans="5:9" x14ac:dyDescent="0.3">
      <c r="E874" s="4"/>
      <c r="I874" t="str">
        <f>IFERROR(MATCH(A874,'Periods 26-25'!$C$2:$C$13,1),"")</f>
        <v/>
      </c>
    </row>
    <row r="875" spans="5:9" x14ac:dyDescent="0.3">
      <c r="E875" s="4"/>
      <c r="I875" t="str">
        <f>IFERROR(MATCH(A875,'Periods 26-25'!$C$2:$C$13,1),"")</f>
        <v/>
      </c>
    </row>
    <row r="876" spans="5:9" x14ac:dyDescent="0.3">
      <c r="E876" s="4"/>
      <c r="I876" t="str">
        <f>IFERROR(MATCH(A876,'Periods 26-25'!$C$2:$C$13,1),"")</f>
        <v/>
      </c>
    </row>
    <row r="877" spans="5:9" x14ac:dyDescent="0.3">
      <c r="E877" s="4"/>
      <c r="I877" t="str">
        <f>IFERROR(MATCH(A877,'Periods 26-25'!$C$2:$C$13,1),"")</f>
        <v/>
      </c>
    </row>
    <row r="878" spans="5:9" x14ac:dyDescent="0.3">
      <c r="E878" s="4"/>
      <c r="I878" t="str">
        <f>IFERROR(MATCH(A878,'Periods 26-25'!$C$2:$C$13,1),"")</f>
        <v/>
      </c>
    </row>
    <row r="879" spans="5:9" x14ac:dyDescent="0.3">
      <c r="E879" s="4"/>
      <c r="I879" t="str">
        <f>IFERROR(MATCH(A879,'Periods 26-25'!$C$2:$C$13,1),"")</f>
        <v/>
      </c>
    </row>
    <row r="880" spans="5:9" x14ac:dyDescent="0.3">
      <c r="E880" s="4"/>
      <c r="I880" t="str">
        <f>IFERROR(MATCH(A880,'Periods 26-25'!$C$2:$C$13,1),"")</f>
        <v/>
      </c>
    </row>
    <row r="881" spans="5:9" x14ac:dyDescent="0.3">
      <c r="E881" s="4"/>
      <c r="I881" t="str">
        <f>IFERROR(MATCH(A881,'Periods 26-25'!$C$2:$C$13,1),"")</f>
        <v/>
      </c>
    </row>
    <row r="882" spans="5:9" x14ac:dyDescent="0.3">
      <c r="E882" s="4"/>
      <c r="I882" t="str">
        <f>IFERROR(MATCH(A882,'Periods 26-25'!$C$2:$C$13,1),"")</f>
        <v/>
      </c>
    </row>
    <row r="883" spans="5:9" x14ac:dyDescent="0.3">
      <c r="E883" s="4"/>
      <c r="I883" t="str">
        <f>IFERROR(MATCH(A883,'Periods 26-25'!$C$2:$C$13,1),"")</f>
        <v/>
      </c>
    </row>
    <row r="884" spans="5:9" x14ac:dyDescent="0.3">
      <c r="E884" s="4"/>
      <c r="I884" t="str">
        <f>IFERROR(MATCH(A884,'Periods 26-25'!$C$2:$C$13,1),"")</f>
        <v/>
      </c>
    </row>
    <row r="885" spans="5:9" x14ac:dyDescent="0.3">
      <c r="E885" s="4"/>
      <c r="I885" t="str">
        <f>IFERROR(MATCH(A885,'Periods 26-25'!$C$2:$C$13,1),"")</f>
        <v/>
      </c>
    </row>
    <row r="886" spans="5:9" x14ac:dyDescent="0.3">
      <c r="E886" s="4"/>
      <c r="I886" t="str">
        <f>IFERROR(MATCH(A886,'Periods 26-25'!$C$2:$C$13,1),"")</f>
        <v/>
      </c>
    </row>
    <row r="887" spans="5:9" x14ac:dyDescent="0.3">
      <c r="E887" s="4"/>
      <c r="I887" t="str">
        <f>IFERROR(MATCH(A887,'Periods 26-25'!$C$2:$C$13,1),"")</f>
        <v/>
      </c>
    </row>
    <row r="888" spans="5:9" x14ac:dyDescent="0.3">
      <c r="E888" s="4"/>
      <c r="I888" t="str">
        <f>IFERROR(MATCH(A888,'Periods 26-25'!$C$2:$C$13,1),"")</f>
        <v/>
      </c>
    </row>
    <row r="889" spans="5:9" x14ac:dyDescent="0.3">
      <c r="E889" s="4"/>
      <c r="I889" t="str">
        <f>IFERROR(MATCH(A889,'Periods 26-25'!$C$2:$C$13,1),"")</f>
        <v/>
      </c>
    </row>
    <row r="890" spans="5:9" x14ac:dyDescent="0.3">
      <c r="E890" s="4"/>
      <c r="I890" t="str">
        <f>IFERROR(MATCH(A890,'Periods 26-25'!$C$2:$C$13,1),"")</f>
        <v/>
      </c>
    </row>
    <row r="891" spans="5:9" x14ac:dyDescent="0.3">
      <c r="E891" s="4"/>
      <c r="I891" t="str">
        <f>IFERROR(MATCH(A891,'Periods 26-25'!$C$2:$C$13,1),"")</f>
        <v/>
      </c>
    </row>
    <row r="892" spans="5:9" x14ac:dyDescent="0.3">
      <c r="E892" s="4"/>
      <c r="I892" t="str">
        <f>IFERROR(MATCH(A892,'Periods 26-25'!$C$2:$C$13,1),"")</f>
        <v/>
      </c>
    </row>
    <row r="893" spans="5:9" x14ac:dyDescent="0.3">
      <c r="E893" s="4"/>
      <c r="I893" t="str">
        <f>IFERROR(MATCH(A893,'Periods 26-25'!$C$2:$C$13,1),"")</f>
        <v/>
      </c>
    </row>
    <row r="894" spans="5:9" x14ac:dyDescent="0.3">
      <c r="E894" s="4"/>
      <c r="I894" t="str">
        <f>IFERROR(MATCH(A894,'Periods 26-25'!$C$2:$C$13,1),"")</f>
        <v/>
      </c>
    </row>
    <row r="895" spans="5:9" x14ac:dyDescent="0.3">
      <c r="E895" s="4"/>
      <c r="I895" t="str">
        <f>IFERROR(MATCH(A895,'Periods 26-25'!$C$2:$C$13,1),"")</f>
        <v/>
      </c>
    </row>
    <row r="896" spans="5:9" x14ac:dyDescent="0.3">
      <c r="E896" s="4"/>
      <c r="I896" t="str">
        <f>IFERROR(MATCH(A896,'Periods 26-25'!$C$2:$C$13,1),"")</f>
        <v/>
      </c>
    </row>
    <row r="897" spans="5:9" x14ac:dyDescent="0.3">
      <c r="E897" s="4"/>
      <c r="I897" t="str">
        <f>IFERROR(MATCH(A897,'Periods 26-25'!$C$2:$C$13,1),"")</f>
        <v/>
      </c>
    </row>
    <row r="898" spans="5:9" x14ac:dyDescent="0.3">
      <c r="E898" s="4"/>
      <c r="I898" t="str">
        <f>IFERROR(MATCH(A898,'Periods 26-25'!$C$2:$C$13,1),"")</f>
        <v/>
      </c>
    </row>
    <row r="899" spans="5:9" x14ac:dyDescent="0.3">
      <c r="E899" s="4"/>
      <c r="I899" t="str">
        <f>IFERROR(MATCH(A899,'Periods 26-25'!$C$2:$C$13,1),"")</f>
        <v/>
      </c>
    </row>
    <row r="900" spans="5:9" x14ac:dyDescent="0.3">
      <c r="E900" s="4"/>
      <c r="I900" t="str">
        <f>IFERROR(MATCH(A900,'Periods 26-25'!$C$2:$C$13,1),"")</f>
        <v/>
      </c>
    </row>
    <row r="901" spans="5:9" x14ac:dyDescent="0.3">
      <c r="E901" s="4"/>
      <c r="I901" t="str">
        <f>IFERROR(MATCH(A901,'Periods 26-25'!$C$2:$C$13,1),"")</f>
        <v/>
      </c>
    </row>
    <row r="902" spans="5:9" x14ac:dyDescent="0.3">
      <c r="E902" s="4"/>
      <c r="I902" t="str">
        <f>IFERROR(MATCH(A902,'Periods 26-25'!$C$2:$C$13,1),"")</f>
        <v/>
      </c>
    </row>
    <row r="903" spans="5:9" x14ac:dyDescent="0.3">
      <c r="E903" s="4"/>
      <c r="I903" t="str">
        <f>IFERROR(MATCH(A903,'Periods 26-25'!$C$2:$C$13,1),"")</f>
        <v/>
      </c>
    </row>
    <row r="904" spans="5:9" x14ac:dyDescent="0.3">
      <c r="E904" s="4"/>
      <c r="I904" t="str">
        <f>IFERROR(MATCH(A904,'Periods 26-25'!$C$2:$C$13,1),"")</f>
        <v/>
      </c>
    </row>
    <row r="905" spans="5:9" x14ac:dyDescent="0.3">
      <c r="E905" s="4"/>
      <c r="I905" t="str">
        <f>IFERROR(MATCH(A905,'Periods 26-25'!$C$2:$C$13,1),"")</f>
        <v/>
      </c>
    </row>
    <row r="906" spans="5:9" x14ac:dyDescent="0.3">
      <c r="E906" s="4"/>
      <c r="I906" t="str">
        <f>IFERROR(MATCH(A906,'Periods 26-25'!$C$2:$C$13,1),"")</f>
        <v/>
      </c>
    </row>
    <row r="907" spans="5:9" x14ac:dyDescent="0.3">
      <c r="E907" s="4"/>
      <c r="I907" t="str">
        <f>IFERROR(MATCH(A907,'Periods 26-25'!$C$2:$C$13,1),"")</f>
        <v/>
      </c>
    </row>
    <row r="908" spans="5:9" x14ac:dyDescent="0.3">
      <c r="E908" s="4"/>
      <c r="I908" t="str">
        <f>IFERROR(MATCH(A908,'Periods 26-25'!$C$2:$C$13,1),"")</f>
        <v/>
      </c>
    </row>
    <row r="909" spans="5:9" x14ac:dyDescent="0.3">
      <c r="E909" s="4"/>
      <c r="I909" t="str">
        <f>IFERROR(MATCH(A909,'Periods 26-25'!$C$2:$C$13,1),"")</f>
        <v/>
      </c>
    </row>
    <row r="910" spans="5:9" x14ac:dyDescent="0.3">
      <c r="E910" s="4"/>
      <c r="I910" t="str">
        <f>IFERROR(MATCH(A910,'Periods 26-25'!$C$2:$C$13,1),"")</f>
        <v/>
      </c>
    </row>
    <row r="911" spans="5:9" x14ac:dyDescent="0.3">
      <c r="E911" s="4"/>
      <c r="I911" t="str">
        <f>IFERROR(MATCH(A911,'Periods 26-25'!$C$2:$C$13,1),"")</f>
        <v/>
      </c>
    </row>
    <row r="912" spans="5:9" x14ac:dyDescent="0.3">
      <c r="E912" s="4"/>
      <c r="I912" t="str">
        <f>IFERROR(MATCH(A912,'Periods 26-25'!$C$2:$C$13,1),"")</f>
        <v/>
      </c>
    </row>
    <row r="913" spans="5:9" x14ac:dyDescent="0.3">
      <c r="E913" s="4"/>
      <c r="I913" t="str">
        <f>IFERROR(MATCH(A913,'Periods 26-25'!$C$2:$C$13,1),"")</f>
        <v/>
      </c>
    </row>
    <row r="914" spans="5:9" x14ac:dyDescent="0.3">
      <c r="E914" s="4"/>
      <c r="I914" t="str">
        <f>IFERROR(MATCH(A914,'Periods 26-25'!$C$2:$C$13,1),"")</f>
        <v/>
      </c>
    </row>
    <row r="915" spans="5:9" x14ac:dyDescent="0.3">
      <c r="E915" s="4"/>
      <c r="I915" t="str">
        <f>IFERROR(MATCH(A915,'Periods 26-25'!$C$2:$C$13,1),"")</f>
        <v/>
      </c>
    </row>
    <row r="916" spans="5:9" x14ac:dyDescent="0.3">
      <c r="E916" s="4"/>
      <c r="I916" t="str">
        <f>IFERROR(MATCH(A916,'Periods 26-25'!$C$2:$C$13,1),"")</f>
        <v/>
      </c>
    </row>
    <row r="917" spans="5:9" x14ac:dyDescent="0.3">
      <c r="E917" s="4"/>
      <c r="I917" t="str">
        <f>IFERROR(MATCH(A917,'Periods 26-25'!$C$2:$C$13,1),"")</f>
        <v/>
      </c>
    </row>
    <row r="918" spans="5:9" x14ac:dyDescent="0.3">
      <c r="E918" s="4"/>
      <c r="I918" t="str">
        <f>IFERROR(MATCH(A918,'Periods 26-25'!$C$2:$C$13,1),"")</f>
        <v/>
      </c>
    </row>
    <row r="919" spans="5:9" x14ac:dyDescent="0.3">
      <c r="E919" s="4"/>
      <c r="I919" t="str">
        <f>IFERROR(MATCH(A919,'Periods 26-25'!$C$2:$C$13,1),"")</f>
        <v/>
      </c>
    </row>
    <row r="920" spans="5:9" x14ac:dyDescent="0.3">
      <c r="E920" s="4"/>
      <c r="I920" t="str">
        <f>IFERROR(MATCH(A920,'Periods 26-25'!$C$2:$C$13,1),"")</f>
        <v/>
      </c>
    </row>
    <row r="921" spans="5:9" x14ac:dyDescent="0.3">
      <c r="E921" s="4"/>
      <c r="I921" t="str">
        <f>IFERROR(MATCH(A921,'Periods 26-25'!$C$2:$C$13,1),"")</f>
        <v/>
      </c>
    </row>
    <row r="922" spans="5:9" x14ac:dyDescent="0.3">
      <c r="E922" s="4"/>
      <c r="I922" t="str">
        <f>IFERROR(MATCH(A922,'Periods 26-25'!$C$2:$C$13,1),"")</f>
        <v/>
      </c>
    </row>
    <row r="923" spans="5:9" x14ac:dyDescent="0.3">
      <c r="E923" s="4"/>
      <c r="I923" t="str">
        <f>IFERROR(MATCH(A923,'Periods 26-25'!$C$2:$C$13,1),"")</f>
        <v/>
      </c>
    </row>
    <row r="924" spans="5:9" x14ac:dyDescent="0.3">
      <c r="E924" s="4"/>
      <c r="I924" t="str">
        <f>IFERROR(MATCH(A924,'Periods 26-25'!$C$2:$C$13,1),"")</f>
        <v/>
      </c>
    </row>
    <row r="925" spans="5:9" x14ac:dyDescent="0.3">
      <c r="E925" s="4"/>
      <c r="I925" t="str">
        <f>IFERROR(MATCH(A925,'Periods 26-25'!$C$2:$C$13,1),"")</f>
        <v/>
      </c>
    </row>
    <row r="926" spans="5:9" x14ac:dyDescent="0.3">
      <c r="E926" s="4"/>
      <c r="I926" t="str">
        <f>IFERROR(MATCH(A926,'Periods 26-25'!$C$2:$C$13,1),"")</f>
        <v/>
      </c>
    </row>
    <row r="927" spans="5:9" x14ac:dyDescent="0.3">
      <c r="E927" s="4"/>
      <c r="I927" t="str">
        <f>IFERROR(MATCH(A927,'Periods 26-25'!$C$2:$C$13,1),"")</f>
        <v/>
      </c>
    </row>
    <row r="928" spans="5:9" x14ac:dyDescent="0.3">
      <c r="E928" s="4"/>
      <c r="I928" t="str">
        <f>IFERROR(MATCH(A928,'Periods 26-25'!$C$2:$C$13,1),"")</f>
        <v/>
      </c>
    </row>
    <row r="929" spans="5:9" x14ac:dyDescent="0.3">
      <c r="E929" s="4"/>
      <c r="I929" t="str">
        <f>IFERROR(MATCH(A929,'Periods 26-25'!$C$2:$C$13,1),"")</f>
        <v/>
      </c>
    </row>
    <row r="930" spans="5:9" x14ac:dyDescent="0.3">
      <c r="E930" s="4"/>
      <c r="I930" t="str">
        <f>IFERROR(MATCH(A930,'Periods 26-25'!$C$2:$C$13,1),"")</f>
        <v/>
      </c>
    </row>
    <row r="931" spans="5:9" x14ac:dyDescent="0.3">
      <c r="E931" s="4"/>
      <c r="I931" t="str">
        <f>IFERROR(MATCH(A931,'Periods 26-25'!$C$2:$C$13,1),"")</f>
        <v/>
      </c>
    </row>
    <row r="932" spans="5:9" x14ac:dyDescent="0.3">
      <c r="E932" s="4"/>
      <c r="I932" t="str">
        <f>IFERROR(MATCH(A932,'Periods 26-25'!$C$2:$C$13,1),"")</f>
        <v/>
      </c>
    </row>
    <row r="933" spans="5:9" x14ac:dyDescent="0.3">
      <c r="E933" s="4"/>
      <c r="I933" t="str">
        <f>IFERROR(MATCH(A933,'Periods 26-25'!$C$2:$C$13,1),"")</f>
        <v/>
      </c>
    </row>
    <row r="934" spans="5:9" x14ac:dyDescent="0.3">
      <c r="E934" s="4"/>
      <c r="I934" t="str">
        <f>IFERROR(MATCH(A934,'Periods 26-25'!$C$2:$C$13,1),"")</f>
        <v/>
      </c>
    </row>
    <row r="935" spans="5:9" x14ac:dyDescent="0.3">
      <c r="E935" s="4"/>
      <c r="I935" t="str">
        <f>IFERROR(MATCH(A935,'Periods 26-25'!$C$2:$C$13,1),"")</f>
        <v/>
      </c>
    </row>
    <row r="936" spans="5:9" x14ac:dyDescent="0.3">
      <c r="E936" s="4"/>
      <c r="I936" t="str">
        <f>IFERROR(MATCH(A936,'Periods 26-25'!$C$2:$C$13,1),"")</f>
        <v/>
      </c>
    </row>
    <row r="937" spans="5:9" x14ac:dyDescent="0.3">
      <c r="E937" s="4"/>
      <c r="I937" t="str">
        <f>IFERROR(MATCH(A937,'Periods 26-25'!$C$2:$C$13,1),"")</f>
        <v/>
      </c>
    </row>
    <row r="938" spans="5:9" x14ac:dyDescent="0.3">
      <c r="E938" s="4"/>
      <c r="I938" t="str">
        <f>IFERROR(MATCH(A938,'Periods 26-25'!$C$2:$C$13,1),"")</f>
        <v/>
      </c>
    </row>
    <row r="939" spans="5:9" x14ac:dyDescent="0.3">
      <c r="E939" s="4"/>
      <c r="I939" t="str">
        <f>IFERROR(MATCH(A939,'Periods 26-25'!$C$2:$C$13,1),"")</f>
        <v/>
      </c>
    </row>
    <row r="940" spans="5:9" x14ac:dyDescent="0.3">
      <c r="E940" s="4"/>
      <c r="I940" t="str">
        <f>IFERROR(MATCH(A940,'Periods 26-25'!$C$2:$C$13,1),"")</f>
        <v/>
      </c>
    </row>
    <row r="941" spans="5:9" x14ac:dyDescent="0.3">
      <c r="E941" s="4"/>
      <c r="I941" t="str">
        <f>IFERROR(MATCH(A941,'Periods 26-25'!$C$2:$C$13,1),"")</f>
        <v/>
      </c>
    </row>
    <row r="942" spans="5:9" x14ac:dyDescent="0.3">
      <c r="E942" s="4"/>
      <c r="I942" t="str">
        <f>IFERROR(MATCH(A942,'Periods 26-25'!$C$2:$C$13,1),"")</f>
        <v/>
      </c>
    </row>
    <row r="943" spans="5:9" x14ac:dyDescent="0.3">
      <c r="E943" s="4"/>
      <c r="I943" t="str">
        <f>IFERROR(MATCH(A943,'Periods 26-25'!$C$2:$C$13,1),"")</f>
        <v/>
      </c>
    </row>
    <row r="944" spans="5:9" x14ac:dyDescent="0.3">
      <c r="E944" s="4"/>
      <c r="I944" t="str">
        <f>IFERROR(MATCH(A944,'Periods 26-25'!$C$2:$C$13,1),"")</f>
        <v/>
      </c>
    </row>
    <row r="945" spans="5:9" x14ac:dyDescent="0.3">
      <c r="E945" s="4"/>
      <c r="I945" t="str">
        <f>IFERROR(MATCH(A945,'Periods 26-25'!$C$2:$C$13,1),"")</f>
        <v/>
      </c>
    </row>
    <row r="946" spans="5:9" x14ac:dyDescent="0.3">
      <c r="E946" s="4"/>
      <c r="I946" t="str">
        <f>IFERROR(MATCH(A946,'Periods 26-25'!$C$2:$C$13,1),"")</f>
        <v/>
      </c>
    </row>
    <row r="947" spans="5:9" x14ac:dyDescent="0.3">
      <c r="E947" s="4"/>
      <c r="I947" t="str">
        <f>IFERROR(MATCH(A947,'Periods 26-25'!$C$2:$C$13,1),"")</f>
        <v/>
      </c>
    </row>
    <row r="948" spans="5:9" x14ac:dyDescent="0.3">
      <c r="E948" s="4"/>
      <c r="I948" t="str">
        <f>IFERROR(MATCH(A948,'Periods 26-25'!$C$2:$C$13,1),"")</f>
        <v/>
      </c>
    </row>
    <row r="949" spans="5:9" x14ac:dyDescent="0.3">
      <c r="E949" s="4"/>
      <c r="I949" t="str">
        <f>IFERROR(MATCH(A949,'Periods 26-25'!$C$2:$C$13,1),"")</f>
        <v/>
      </c>
    </row>
    <row r="950" spans="5:9" x14ac:dyDescent="0.3">
      <c r="E950" s="4"/>
      <c r="I950" t="str">
        <f>IFERROR(MATCH(A950,'Periods 26-25'!$C$2:$C$13,1),"")</f>
        <v/>
      </c>
    </row>
    <row r="951" spans="5:9" x14ac:dyDescent="0.3">
      <c r="E951" s="4"/>
      <c r="I951" t="str">
        <f>IFERROR(MATCH(A951,'Periods 26-25'!$C$2:$C$13,1),"")</f>
        <v/>
      </c>
    </row>
    <row r="952" spans="5:9" x14ac:dyDescent="0.3">
      <c r="E952" s="4"/>
      <c r="I952" t="str">
        <f>IFERROR(MATCH(A952,'Periods 26-25'!$C$2:$C$13,1),"")</f>
        <v/>
      </c>
    </row>
    <row r="953" spans="5:9" x14ac:dyDescent="0.3">
      <c r="E953" s="4"/>
      <c r="I953" t="str">
        <f>IFERROR(MATCH(A953,'Periods 26-25'!$C$2:$C$13,1),"")</f>
        <v/>
      </c>
    </row>
    <row r="954" spans="5:9" x14ac:dyDescent="0.3">
      <c r="E954" s="4"/>
      <c r="I954" t="str">
        <f>IFERROR(MATCH(A954,'Periods 26-25'!$C$2:$C$13,1),"")</f>
        <v/>
      </c>
    </row>
    <row r="955" spans="5:9" x14ac:dyDescent="0.3">
      <c r="E955" s="4"/>
      <c r="I955" t="str">
        <f>IFERROR(MATCH(A955,'Periods 26-25'!$C$2:$C$13,1),"")</f>
        <v/>
      </c>
    </row>
    <row r="956" spans="5:9" x14ac:dyDescent="0.3">
      <c r="E956" s="4"/>
      <c r="I956" t="str">
        <f>IFERROR(MATCH(A956,'Periods 26-25'!$C$2:$C$13,1),"")</f>
        <v/>
      </c>
    </row>
    <row r="957" spans="5:9" x14ac:dyDescent="0.3">
      <c r="E957" s="4"/>
      <c r="I957" t="str">
        <f>IFERROR(MATCH(A957,'Periods 26-25'!$C$2:$C$13,1),"")</f>
        <v/>
      </c>
    </row>
    <row r="958" spans="5:9" x14ac:dyDescent="0.3">
      <c r="E958" s="4"/>
      <c r="I958" t="str">
        <f>IFERROR(MATCH(A958,'Periods 26-25'!$C$2:$C$13,1),"")</f>
        <v/>
      </c>
    </row>
    <row r="959" spans="5:9" x14ac:dyDescent="0.3">
      <c r="E959" s="4"/>
      <c r="I959" t="str">
        <f>IFERROR(MATCH(A959,'Periods 26-25'!$C$2:$C$13,1),"")</f>
        <v/>
      </c>
    </row>
    <row r="960" spans="5:9" x14ac:dyDescent="0.3">
      <c r="E960" s="4"/>
      <c r="I960" t="str">
        <f>IFERROR(MATCH(A960,'Periods 26-25'!$C$2:$C$13,1),"")</f>
        <v/>
      </c>
    </row>
    <row r="961" spans="5:9" x14ac:dyDescent="0.3">
      <c r="E961" s="4"/>
      <c r="I961" t="str">
        <f>IFERROR(MATCH(A961,'Periods 26-25'!$C$2:$C$13,1),"")</f>
        <v/>
      </c>
    </row>
    <row r="962" spans="5:9" x14ac:dyDescent="0.3">
      <c r="E962" s="4"/>
      <c r="I962" t="str">
        <f>IFERROR(MATCH(A962,'Periods 26-25'!$C$2:$C$13,1),"")</f>
        <v/>
      </c>
    </row>
    <row r="963" spans="5:9" x14ac:dyDescent="0.3">
      <c r="E963" s="4"/>
      <c r="I963" t="str">
        <f>IFERROR(MATCH(A963,'Periods 26-25'!$C$2:$C$13,1),"")</f>
        <v/>
      </c>
    </row>
    <row r="964" spans="5:9" x14ac:dyDescent="0.3">
      <c r="E964" s="4"/>
      <c r="I964" t="str">
        <f>IFERROR(MATCH(A964,'Periods 26-25'!$C$2:$C$13,1),"")</f>
        <v/>
      </c>
    </row>
    <row r="965" spans="5:9" x14ac:dyDescent="0.3">
      <c r="E965" s="4"/>
      <c r="I965" t="str">
        <f>IFERROR(MATCH(A965,'Periods 26-25'!$C$2:$C$13,1),"")</f>
        <v/>
      </c>
    </row>
    <row r="966" spans="5:9" x14ac:dyDescent="0.3">
      <c r="E966" s="4"/>
      <c r="I966" t="str">
        <f>IFERROR(MATCH(A966,'Periods 26-25'!$C$2:$C$13,1),"")</f>
        <v/>
      </c>
    </row>
    <row r="967" spans="5:9" x14ac:dyDescent="0.3">
      <c r="E967" s="4"/>
      <c r="I967" t="str">
        <f>IFERROR(MATCH(A967,'Periods 26-25'!$C$2:$C$13,1),"")</f>
        <v/>
      </c>
    </row>
    <row r="968" spans="5:9" x14ac:dyDescent="0.3">
      <c r="E968" s="4"/>
      <c r="I968" t="str">
        <f>IFERROR(MATCH(A968,'Periods 26-25'!$C$2:$C$13,1),"")</f>
        <v/>
      </c>
    </row>
    <row r="969" spans="5:9" x14ac:dyDescent="0.3">
      <c r="E969" s="4"/>
      <c r="I969" t="str">
        <f>IFERROR(MATCH(A969,'Periods 26-25'!$C$2:$C$13,1),"")</f>
        <v/>
      </c>
    </row>
    <row r="970" spans="5:9" x14ac:dyDescent="0.3">
      <c r="E970" s="4"/>
      <c r="I970" t="str">
        <f>IFERROR(MATCH(A970,'Periods 26-25'!$C$2:$C$13,1),"")</f>
        <v/>
      </c>
    </row>
    <row r="971" spans="5:9" x14ac:dyDescent="0.3">
      <c r="E971" s="4"/>
      <c r="I971" t="str">
        <f>IFERROR(MATCH(A971,'Periods 26-25'!$C$2:$C$13,1),"")</f>
        <v/>
      </c>
    </row>
    <row r="972" spans="5:9" x14ac:dyDescent="0.3">
      <c r="E972" s="4"/>
      <c r="I972" t="str">
        <f>IFERROR(MATCH(A972,'Periods 26-25'!$C$2:$C$13,1),"")</f>
        <v/>
      </c>
    </row>
    <row r="973" spans="5:9" x14ac:dyDescent="0.3">
      <c r="E973" s="4"/>
      <c r="I973" t="str">
        <f>IFERROR(MATCH(A973,'Periods 26-25'!$C$2:$C$13,1),"")</f>
        <v/>
      </c>
    </row>
    <row r="974" spans="5:9" x14ac:dyDescent="0.3">
      <c r="E974" s="4"/>
      <c r="I974" t="str">
        <f>IFERROR(MATCH(A974,'Periods 26-25'!$C$2:$C$13,1),"")</f>
        <v/>
      </c>
    </row>
    <row r="975" spans="5:9" x14ac:dyDescent="0.3">
      <c r="E975" s="4"/>
      <c r="I975" t="str">
        <f>IFERROR(MATCH(A975,'Periods 26-25'!$C$2:$C$13,1),"")</f>
        <v/>
      </c>
    </row>
    <row r="976" spans="5:9" x14ac:dyDescent="0.3">
      <c r="E976" s="4"/>
      <c r="I976" t="str">
        <f>IFERROR(MATCH(A976,'Periods 26-25'!$C$2:$C$13,1),"")</f>
        <v/>
      </c>
    </row>
    <row r="977" spans="5:9" x14ac:dyDescent="0.3">
      <c r="E977" s="4"/>
      <c r="I977" t="str">
        <f>IFERROR(MATCH(A977,'Periods 26-25'!$C$2:$C$13,1),"")</f>
        <v/>
      </c>
    </row>
    <row r="978" spans="5:9" x14ac:dyDescent="0.3">
      <c r="E978" s="4"/>
      <c r="I978" t="str">
        <f>IFERROR(MATCH(A978,'Periods 26-25'!$C$2:$C$13,1),"")</f>
        <v/>
      </c>
    </row>
    <row r="979" spans="5:9" x14ac:dyDescent="0.3">
      <c r="E979" s="4"/>
      <c r="I979" t="str">
        <f>IFERROR(MATCH(A979,'Periods 26-25'!$C$2:$C$13,1),"")</f>
        <v/>
      </c>
    </row>
    <row r="980" spans="5:9" x14ac:dyDescent="0.3">
      <c r="E980" s="4"/>
      <c r="I980" t="str">
        <f>IFERROR(MATCH(A980,'Periods 26-25'!$C$2:$C$13,1),"")</f>
        <v/>
      </c>
    </row>
    <row r="981" spans="5:9" x14ac:dyDescent="0.3">
      <c r="E981" s="4"/>
      <c r="I981" t="str">
        <f>IFERROR(MATCH(A981,'Periods 26-25'!$C$2:$C$13,1),"")</f>
        <v/>
      </c>
    </row>
    <row r="982" spans="5:9" x14ac:dyDescent="0.3">
      <c r="E982" s="4"/>
      <c r="I982" t="str">
        <f>IFERROR(MATCH(A982,'Periods 26-25'!$C$2:$C$13,1),"")</f>
        <v/>
      </c>
    </row>
    <row r="983" spans="5:9" x14ac:dyDescent="0.3">
      <c r="E983" s="4"/>
      <c r="I983" t="str">
        <f>IFERROR(MATCH(A983,'Periods 26-25'!$C$2:$C$13,1),"")</f>
        <v/>
      </c>
    </row>
    <row r="984" spans="5:9" x14ac:dyDescent="0.3">
      <c r="E984" s="4"/>
      <c r="I984" t="str">
        <f>IFERROR(MATCH(A984,'Periods 26-25'!$C$2:$C$13,1),"")</f>
        <v/>
      </c>
    </row>
    <row r="985" spans="5:9" x14ac:dyDescent="0.3">
      <c r="E985" s="4"/>
      <c r="I985" t="str">
        <f>IFERROR(MATCH(A985,'Periods 26-25'!$C$2:$C$13,1),"")</f>
        <v/>
      </c>
    </row>
    <row r="986" spans="5:9" x14ac:dyDescent="0.3">
      <c r="E986" s="4"/>
      <c r="I986" t="str">
        <f>IFERROR(MATCH(A986,'Periods 26-25'!$C$2:$C$13,1),"")</f>
        <v/>
      </c>
    </row>
    <row r="987" spans="5:9" x14ac:dyDescent="0.3">
      <c r="E987" s="4"/>
      <c r="I987" t="str">
        <f>IFERROR(MATCH(A987,'Periods 26-25'!$C$2:$C$13,1),"")</f>
        <v/>
      </c>
    </row>
    <row r="988" spans="5:9" x14ac:dyDescent="0.3">
      <c r="E988" s="4"/>
      <c r="I988" t="str">
        <f>IFERROR(MATCH(A988,'Periods 26-25'!$C$2:$C$13,1),"")</f>
        <v/>
      </c>
    </row>
    <row r="989" spans="5:9" x14ac:dyDescent="0.3">
      <c r="E989" s="4"/>
      <c r="I989" t="str">
        <f>IFERROR(MATCH(A989,'Periods 26-25'!$C$2:$C$13,1),"")</f>
        <v/>
      </c>
    </row>
    <row r="990" spans="5:9" x14ac:dyDescent="0.3">
      <c r="E990" s="4"/>
      <c r="I990" t="str">
        <f>IFERROR(MATCH(A990,'Periods 26-25'!$C$2:$C$13,1),"")</f>
        <v/>
      </c>
    </row>
    <row r="991" spans="5:9" x14ac:dyDescent="0.3">
      <c r="E991" s="4"/>
      <c r="I991" t="str">
        <f>IFERROR(MATCH(A991,'Periods 26-25'!$C$2:$C$13,1),"")</f>
        <v/>
      </c>
    </row>
    <row r="992" spans="5:9" x14ac:dyDescent="0.3">
      <c r="E992" s="4"/>
      <c r="I992" t="str">
        <f>IFERROR(MATCH(A992,'Periods 26-25'!$C$2:$C$13,1),"")</f>
        <v/>
      </c>
    </row>
    <row r="993" spans="5:9" x14ac:dyDescent="0.3">
      <c r="E993" s="4"/>
      <c r="I993" t="str">
        <f>IFERROR(MATCH(A993,'Periods 26-25'!$C$2:$C$13,1),"")</f>
        <v/>
      </c>
    </row>
    <row r="994" spans="5:9" x14ac:dyDescent="0.3">
      <c r="E994" s="4"/>
      <c r="I994" t="str">
        <f>IFERROR(MATCH(A994,'Periods 26-25'!$C$2:$C$13,1),"")</f>
        <v/>
      </c>
    </row>
    <row r="995" spans="5:9" x14ac:dyDescent="0.3">
      <c r="E995" s="4"/>
      <c r="I995" t="str">
        <f>IFERROR(MATCH(A995,'Periods 26-25'!$C$2:$C$13,1),"")</f>
        <v/>
      </c>
    </row>
    <row r="996" spans="5:9" x14ac:dyDescent="0.3">
      <c r="E996" s="4"/>
      <c r="I996" t="str">
        <f>IFERROR(MATCH(A996,'Periods 26-25'!$C$2:$C$13,1),"")</f>
        <v/>
      </c>
    </row>
    <row r="997" spans="5:9" x14ac:dyDescent="0.3">
      <c r="E997" s="4"/>
      <c r="I997" t="str">
        <f>IFERROR(MATCH(A997,'Periods 26-25'!$C$2:$C$13,1),"")</f>
        <v/>
      </c>
    </row>
    <row r="998" spans="5:9" x14ac:dyDescent="0.3">
      <c r="E998" s="4"/>
      <c r="I998" t="str">
        <f>IFERROR(MATCH(A998,'Periods 26-25'!$C$2:$C$13,1),"")</f>
        <v/>
      </c>
    </row>
    <row r="999" spans="5:9" x14ac:dyDescent="0.3">
      <c r="E999" s="4"/>
      <c r="I999" t="str">
        <f>IFERROR(MATCH(A999,'Periods 26-25'!$C$2:$C$13,1),"")</f>
        <v/>
      </c>
    </row>
    <row r="1000" spans="5:9" x14ac:dyDescent="0.3">
      <c r="E1000" s="4"/>
      <c r="I1000" t="str">
        <f>IFERROR(MATCH(A1000,'Periods 26-25'!$C$2:$C$13,1),"")</f>
        <v/>
      </c>
    </row>
    <row r="1001" spans="5:9" x14ac:dyDescent="0.3">
      <c r="E1001" s="4"/>
      <c r="I1001" t="str">
        <f>IFERROR(MATCH(A1001,'Periods 26-25'!$C$2:$C$13,1),"")</f>
        <v/>
      </c>
    </row>
    <row r="1002" spans="5:9" x14ac:dyDescent="0.3">
      <c r="E1002" s="4"/>
      <c r="I1002" t="str">
        <f>IFERROR(MATCH(A1002,'Periods 26-25'!$C$2:$C$13,1),"")</f>
        <v/>
      </c>
    </row>
    <row r="1003" spans="5:9" x14ac:dyDescent="0.3">
      <c r="E1003" s="4"/>
      <c r="I1003" t="str">
        <f>IFERROR(MATCH(A1003,'Periods 26-25'!$C$2:$C$13,1),"")</f>
        <v/>
      </c>
    </row>
    <row r="1004" spans="5:9" x14ac:dyDescent="0.3">
      <c r="E1004" s="4"/>
      <c r="I1004" t="str">
        <f>IFERROR(MATCH(A1004,'Periods 26-25'!$C$2:$C$13,1),"")</f>
        <v/>
      </c>
    </row>
    <row r="1005" spans="5:9" x14ac:dyDescent="0.3">
      <c r="E1005" s="4"/>
      <c r="I1005" t="str">
        <f>IFERROR(MATCH(A1005,'Periods 26-25'!$C$2:$C$13,1),"")</f>
        <v/>
      </c>
    </row>
    <row r="1006" spans="5:9" x14ac:dyDescent="0.3">
      <c r="E1006" s="4"/>
      <c r="I1006" t="str">
        <f>IFERROR(MATCH(A1006,'Periods 26-25'!$C$2:$C$13,1),"")</f>
        <v/>
      </c>
    </row>
    <row r="1007" spans="5:9" x14ac:dyDescent="0.3">
      <c r="E1007" s="4"/>
      <c r="I1007" t="str">
        <f>IFERROR(MATCH(A1007,'Periods 26-25'!$C$2:$C$13,1),"")</f>
        <v/>
      </c>
    </row>
    <row r="1008" spans="5:9" x14ac:dyDescent="0.3">
      <c r="E1008" s="4"/>
      <c r="I1008" t="str">
        <f>IFERROR(MATCH(A1008,'Periods 26-25'!$C$2:$C$13,1),"")</f>
        <v/>
      </c>
    </row>
    <row r="1009" spans="5:9" x14ac:dyDescent="0.3">
      <c r="E1009" s="4"/>
      <c r="I1009" t="str">
        <f>IFERROR(MATCH(A1009,'Periods 26-25'!$C$2:$C$13,1),"")</f>
        <v/>
      </c>
    </row>
    <row r="1010" spans="5:9" x14ac:dyDescent="0.3">
      <c r="E1010" s="4"/>
      <c r="I1010" t="str">
        <f>IFERROR(MATCH(A1010,'Periods 26-25'!$C$2:$C$13,1),"")</f>
        <v/>
      </c>
    </row>
    <row r="1011" spans="5:9" x14ac:dyDescent="0.3">
      <c r="E1011" s="4"/>
      <c r="I1011" t="str">
        <f>IFERROR(MATCH(A1011,'Periods 26-25'!$C$2:$C$13,1),"")</f>
        <v/>
      </c>
    </row>
    <row r="1012" spans="5:9" x14ac:dyDescent="0.3">
      <c r="E1012" s="4"/>
      <c r="I1012" t="str">
        <f>IFERROR(MATCH(A1012,'Periods 26-25'!$C$2:$C$13,1),"")</f>
        <v/>
      </c>
    </row>
    <row r="1013" spans="5:9" x14ac:dyDescent="0.3">
      <c r="E1013" s="4"/>
      <c r="I1013" t="str">
        <f>IFERROR(MATCH(A1013,'Periods 26-25'!$C$2:$C$13,1),"")</f>
        <v/>
      </c>
    </row>
    <row r="1014" spans="5:9" x14ac:dyDescent="0.3">
      <c r="E1014" s="4"/>
      <c r="I1014" t="str">
        <f>IFERROR(MATCH(A1014,'Periods 26-25'!$C$2:$C$13,1),"")</f>
        <v/>
      </c>
    </row>
    <row r="1015" spans="5:9" x14ac:dyDescent="0.3">
      <c r="E1015" s="4"/>
      <c r="I1015" t="str">
        <f>IFERROR(MATCH(A1015,'Periods 26-25'!$C$2:$C$13,1),"")</f>
        <v/>
      </c>
    </row>
    <row r="1016" spans="5:9" x14ac:dyDescent="0.3">
      <c r="E1016" s="4"/>
      <c r="I1016" t="str">
        <f>IFERROR(MATCH(A1016,'Periods 26-25'!$C$2:$C$13,1),"")</f>
        <v/>
      </c>
    </row>
    <row r="1017" spans="5:9" x14ac:dyDescent="0.3">
      <c r="E1017" s="4"/>
      <c r="I1017" t="str">
        <f>IFERROR(MATCH(A1017,'Periods 26-25'!$C$2:$C$13,1),"")</f>
        <v/>
      </c>
    </row>
    <row r="1018" spans="5:9" x14ac:dyDescent="0.3">
      <c r="E1018" s="4"/>
      <c r="I1018" t="str">
        <f>IFERROR(MATCH(A1018,'Periods 26-25'!$C$2:$C$13,1),"")</f>
        <v/>
      </c>
    </row>
    <row r="1019" spans="5:9" x14ac:dyDescent="0.3">
      <c r="E1019" s="4"/>
      <c r="I1019" t="str">
        <f>IFERROR(MATCH(A1019,'Periods 26-25'!$C$2:$C$13,1),"")</f>
        <v/>
      </c>
    </row>
    <row r="1020" spans="5:9" x14ac:dyDescent="0.3">
      <c r="E1020" s="4"/>
      <c r="I1020" t="str">
        <f>IFERROR(MATCH(A1020,'Periods 26-25'!$C$2:$C$13,1),"")</f>
        <v/>
      </c>
    </row>
    <row r="1021" spans="5:9" x14ac:dyDescent="0.3">
      <c r="E1021" s="4"/>
      <c r="I1021" t="str">
        <f>IFERROR(MATCH(A1021,'Periods 26-25'!$C$2:$C$13,1),"")</f>
        <v/>
      </c>
    </row>
    <row r="1022" spans="5:9" x14ac:dyDescent="0.3">
      <c r="E1022" s="4"/>
      <c r="I1022" t="str">
        <f>IFERROR(MATCH(A1022,'Periods 26-25'!$C$2:$C$13,1),"")</f>
        <v/>
      </c>
    </row>
    <row r="1023" spans="5:9" x14ac:dyDescent="0.3">
      <c r="E1023" s="4"/>
      <c r="I1023" t="str">
        <f>IFERROR(MATCH(A1023,'Periods 26-25'!$C$2:$C$13,1),"")</f>
        <v/>
      </c>
    </row>
    <row r="1024" spans="5:9" x14ac:dyDescent="0.3">
      <c r="E1024" s="4"/>
      <c r="I1024" t="str">
        <f>IFERROR(MATCH(A1024,'Periods 26-25'!$C$2:$C$13,1),"")</f>
        <v/>
      </c>
    </row>
    <row r="1025" spans="5:9" x14ac:dyDescent="0.3">
      <c r="E1025" s="4"/>
      <c r="I1025" t="str">
        <f>IFERROR(MATCH(A1025,'Periods 26-25'!$C$2:$C$13,1),"")</f>
        <v/>
      </c>
    </row>
    <row r="1026" spans="5:9" x14ac:dyDescent="0.3">
      <c r="E1026" s="4"/>
      <c r="I1026" t="str">
        <f>IFERROR(MATCH(A1026,'Periods 26-25'!$C$2:$C$13,1),"")</f>
        <v/>
      </c>
    </row>
    <row r="1027" spans="5:9" x14ac:dyDescent="0.3">
      <c r="E1027" s="4"/>
      <c r="I1027" t="str">
        <f>IFERROR(MATCH(A1027,'Periods 26-25'!$C$2:$C$13,1),"")</f>
        <v/>
      </c>
    </row>
    <row r="1028" spans="5:9" x14ac:dyDescent="0.3">
      <c r="E1028" s="4"/>
      <c r="I1028" t="str">
        <f>IFERROR(MATCH(A1028,'Periods 26-25'!$C$2:$C$13,1),"")</f>
        <v/>
      </c>
    </row>
    <row r="1029" spans="5:9" x14ac:dyDescent="0.3">
      <c r="E1029" s="4"/>
      <c r="I1029" t="str">
        <f>IFERROR(MATCH(A1029,'Periods 26-25'!$C$2:$C$13,1),"")</f>
        <v/>
      </c>
    </row>
    <row r="1030" spans="5:9" x14ac:dyDescent="0.3">
      <c r="E1030" s="4"/>
      <c r="I1030" t="str">
        <f>IFERROR(MATCH(A1030,'Periods 26-25'!$C$2:$C$13,1),"")</f>
        <v/>
      </c>
    </row>
    <row r="1031" spans="5:9" x14ac:dyDescent="0.3">
      <c r="E1031" s="4"/>
      <c r="I1031" t="str">
        <f>IFERROR(MATCH(A1031,'Periods 26-25'!$C$2:$C$13,1),"")</f>
        <v/>
      </c>
    </row>
    <row r="1032" spans="5:9" x14ac:dyDescent="0.3">
      <c r="E1032" s="4"/>
      <c r="I1032" t="str">
        <f>IFERROR(MATCH(A1032,'Periods 26-25'!$C$2:$C$13,1),"")</f>
        <v/>
      </c>
    </row>
    <row r="1033" spans="5:9" x14ac:dyDescent="0.3">
      <c r="E1033" s="4"/>
      <c r="I1033" t="str">
        <f>IFERROR(MATCH(A1033,'Periods 26-25'!$C$2:$C$13,1),"")</f>
        <v/>
      </c>
    </row>
    <row r="1034" spans="5:9" x14ac:dyDescent="0.3">
      <c r="E1034" s="4"/>
      <c r="I1034" t="str">
        <f>IFERROR(MATCH(A1034,'Periods 26-25'!$C$2:$C$13,1),"")</f>
        <v/>
      </c>
    </row>
    <row r="1035" spans="5:9" x14ac:dyDescent="0.3">
      <c r="E1035" s="4"/>
      <c r="I1035" t="str">
        <f>IFERROR(MATCH(A1035,'Periods 26-25'!$C$2:$C$13,1),"")</f>
        <v/>
      </c>
    </row>
    <row r="1036" spans="5:9" x14ac:dyDescent="0.3">
      <c r="E1036" s="4"/>
      <c r="I1036" t="str">
        <f>IFERROR(MATCH(A1036,'Periods 26-25'!$C$2:$C$13,1),"")</f>
        <v/>
      </c>
    </row>
    <row r="1037" spans="5:9" x14ac:dyDescent="0.3">
      <c r="E1037" s="4"/>
      <c r="I1037" t="str">
        <f>IFERROR(MATCH(A1037,'Periods 26-25'!$C$2:$C$13,1),"")</f>
        <v/>
      </c>
    </row>
    <row r="1038" spans="5:9" x14ac:dyDescent="0.3">
      <c r="E1038" s="4"/>
      <c r="I1038" t="str">
        <f>IFERROR(MATCH(A1038,'Periods 26-25'!$C$2:$C$13,1),"")</f>
        <v/>
      </c>
    </row>
    <row r="1039" spans="5:9" x14ac:dyDescent="0.3">
      <c r="E1039" s="4"/>
      <c r="I1039" t="str">
        <f>IFERROR(MATCH(A1039,'Periods 26-25'!$C$2:$C$13,1),"")</f>
        <v/>
      </c>
    </row>
    <row r="1040" spans="5:9" x14ac:dyDescent="0.3">
      <c r="E1040" s="4"/>
      <c r="I1040" t="str">
        <f>IFERROR(MATCH(A1040,'Periods 26-25'!$C$2:$C$13,1),"")</f>
        <v/>
      </c>
    </row>
    <row r="1041" spans="5:9" x14ac:dyDescent="0.3">
      <c r="E1041" s="4"/>
      <c r="I1041" t="str">
        <f>IFERROR(MATCH(A1041,'Periods 26-25'!$C$2:$C$13,1),"")</f>
        <v/>
      </c>
    </row>
    <row r="1042" spans="5:9" x14ac:dyDescent="0.3">
      <c r="E1042" s="4"/>
      <c r="I1042" t="str">
        <f>IFERROR(MATCH(A1042,'Periods 26-25'!$C$2:$C$13,1),"")</f>
        <v/>
      </c>
    </row>
    <row r="1043" spans="5:9" x14ac:dyDescent="0.3">
      <c r="E1043" s="4"/>
      <c r="I1043" t="str">
        <f>IFERROR(MATCH(A1043,'Periods 26-25'!$C$2:$C$13,1),"")</f>
        <v/>
      </c>
    </row>
    <row r="1044" spans="5:9" x14ac:dyDescent="0.3">
      <c r="E1044" s="4"/>
      <c r="I1044" t="str">
        <f>IFERROR(MATCH(A1044,'Periods 26-25'!$C$2:$C$13,1),"")</f>
        <v/>
      </c>
    </row>
    <row r="1045" spans="5:9" x14ac:dyDescent="0.3">
      <c r="E1045" s="4"/>
      <c r="I1045" t="str">
        <f>IFERROR(MATCH(A1045,'Periods 26-25'!$C$2:$C$13,1),"")</f>
        <v/>
      </c>
    </row>
    <row r="1046" spans="5:9" x14ac:dyDescent="0.3">
      <c r="E1046" s="4"/>
      <c r="I1046" t="str">
        <f>IFERROR(MATCH(A1046,'Periods 26-25'!$C$2:$C$13,1),"")</f>
        <v/>
      </c>
    </row>
    <row r="1047" spans="5:9" x14ac:dyDescent="0.3">
      <c r="E1047" s="4"/>
      <c r="I1047" t="str">
        <f>IFERROR(MATCH(A1047,'Periods 26-25'!$C$2:$C$13,1),"")</f>
        <v/>
      </c>
    </row>
    <row r="1048" spans="5:9" x14ac:dyDescent="0.3">
      <c r="E1048" s="4"/>
      <c r="I1048" t="str">
        <f>IFERROR(MATCH(A1048,'Periods 26-25'!$C$2:$C$13,1),"")</f>
        <v/>
      </c>
    </row>
    <row r="1049" spans="5:9" x14ac:dyDescent="0.3">
      <c r="E1049" s="4"/>
      <c r="I1049" t="str">
        <f>IFERROR(MATCH(A1049,'Periods 26-25'!$C$2:$C$13,1),"")</f>
        <v/>
      </c>
    </row>
    <row r="1050" spans="5:9" x14ac:dyDescent="0.3">
      <c r="E1050" s="4"/>
      <c r="I1050" t="str">
        <f>IFERROR(MATCH(A1050,'Periods 26-25'!$C$2:$C$13,1),"")</f>
        <v/>
      </c>
    </row>
    <row r="1051" spans="5:9" x14ac:dyDescent="0.3">
      <c r="E1051" s="4"/>
      <c r="I1051" t="str">
        <f>IFERROR(MATCH(A1051,'Periods 26-25'!$C$2:$C$13,1),"")</f>
        <v/>
      </c>
    </row>
    <row r="1052" spans="5:9" x14ac:dyDescent="0.3">
      <c r="E1052" s="4"/>
      <c r="I1052" t="str">
        <f>IFERROR(MATCH(A1052,'Periods 26-25'!$C$2:$C$13,1),"")</f>
        <v/>
      </c>
    </row>
    <row r="1053" spans="5:9" x14ac:dyDescent="0.3">
      <c r="E1053" s="4"/>
      <c r="I1053" t="str">
        <f>IFERROR(MATCH(A1053,'Periods 26-25'!$C$2:$C$13,1),"")</f>
        <v/>
      </c>
    </row>
    <row r="1054" spans="5:9" x14ac:dyDescent="0.3">
      <c r="E1054" s="4"/>
      <c r="I1054" t="str">
        <f>IFERROR(MATCH(A1054,'Periods 26-25'!$C$2:$C$13,1),"")</f>
        <v/>
      </c>
    </row>
    <row r="1055" spans="5:9" x14ac:dyDescent="0.3">
      <c r="E1055" s="4"/>
      <c r="I1055" t="str">
        <f>IFERROR(MATCH(A1055,'Periods 26-25'!$C$2:$C$13,1),"")</f>
        <v/>
      </c>
    </row>
    <row r="1056" spans="5:9" x14ac:dyDescent="0.3">
      <c r="E1056" s="4"/>
      <c r="I1056" t="str">
        <f>IFERROR(MATCH(A1056,'Periods 26-25'!$C$2:$C$13,1),"")</f>
        <v/>
      </c>
    </row>
    <row r="1057" spans="5:9" x14ac:dyDescent="0.3">
      <c r="E1057" s="4"/>
      <c r="I1057" t="str">
        <f>IFERROR(MATCH(A1057,'Periods 26-25'!$C$2:$C$13,1),"")</f>
        <v/>
      </c>
    </row>
    <row r="1058" spans="5:9" x14ac:dyDescent="0.3">
      <c r="E1058" s="4"/>
      <c r="I1058" t="str">
        <f>IFERROR(MATCH(A1058,'Periods 26-25'!$C$2:$C$13,1),"")</f>
        <v/>
      </c>
    </row>
    <row r="1059" spans="5:9" x14ac:dyDescent="0.3">
      <c r="E1059" s="4"/>
      <c r="I1059" t="str">
        <f>IFERROR(MATCH(A1059,'Periods 26-25'!$C$2:$C$13,1),"")</f>
        <v/>
      </c>
    </row>
    <row r="1060" spans="5:9" x14ac:dyDescent="0.3">
      <c r="E1060" s="4"/>
      <c r="I1060" t="str">
        <f>IFERROR(MATCH(A1060,'Periods 26-25'!$C$2:$C$13,1),"")</f>
        <v/>
      </c>
    </row>
    <row r="1061" spans="5:9" x14ac:dyDescent="0.3">
      <c r="E1061" s="4"/>
      <c r="I1061" t="str">
        <f>IFERROR(MATCH(A1061,'Periods 26-25'!$C$2:$C$13,1),"")</f>
        <v/>
      </c>
    </row>
    <row r="1062" spans="5:9" x14ac:dyDescent="0.3">
      <c r="E1062" s="4"/>
      <c r="I1062" t="str">
        <f>IFERROR(MATCH(A1062,'Periods 26-25'!$C$2:$C$13,1),"")</f>
        <v/>
      </c>
    </row>
    <row r="1063" spans="5:9" x14ac:dyDescent="0.3">
      <c r="E1063" s="4"/>
      <c r="I1063" t="str">
        <f>IFERROR(MATCH(A1063,'Periods 26-25'!$C$2:$C$13,1),"")</f>
        <v/>
      </c>
    </row>
    <row r="1064" spans="5:9" x14ac:dyDescent="0.3">
      <c r="E1064" s="4"/>
      <c r="I1064" t="str">
        <f>IFERROR(MATCH(A1064,'Periods 26-25'!$C$2:$C$13,1),"")</f>
        <v/>
      </c>
    </row>
    <row r="1065" spans="5:9" x14ac:dyDescent="0.3">
      <c r="E1065" s="4"/>
      <c r="I1065" t="str">
        <f>IFERROR(MATCH(A1065,'Periods 26-25'!$C$2:$C$13,1),"")</f>
        <v/>
      </c>
    </row>
    <row r="1066" spans="5:9" x14ac:dyDescent="0.3">
      <c r="E1066" s="4"/>
      <c r="I1066" t="str">
        <f>IFERROR(MATCH(A1066,'Periods 26-25'!$C$2:$C$13,1),"")</f>
        <v/>
      </c>
    </row>
    <row r="1067" spans="5:9" x14ac:dyDescent="0.3">
      <c r="E1067" s="4"/>
      <c r="I1067" t="str">
        <f>IFERROR(MATCH(A1067,'Periods 26-25'!$C$2:$C$13,1),"")</f>
        <v/>
      </c>
    </row>
    <row r="1068" spans="5:9" x14ac:dyDescent="0.3">
      <c r="E1068" s="4"/>
      <c r="I1068" t="str">
        <f>IFERROR(MATCH(A1068,'Periods 26-25'!$C$2:$C$13,1),"")</f>
        <v/>
      </c>
    </row>
    <row r="1069" spans="5:9" x14ac:dyDescent="0.3">
      <c r="E1069" s="4"/>
      <c r="I1069" t="str">
        <f>IFERROR(MATCH(A1069,'Periods 26-25'!$C$2:$C$13,1),"")</f>
        <v/>
      </c>
    </row>
    <row r="1070" spans="5:9" x14ac:dyDescent="0.3">
      <c r="E1070" s="4"/>
      <c r="I1070" t="str">
        <f>IFERROR(MATCH(A1070,'Periods 26-25'!$C$2:$C$13,1),"")</f>
        <v/>
      </c>
    </row>
    <row r="1071" spans="5:9" x14ac:dyDescent="0.3">
      <c r="E1071" s="4"/>
      <c r="I1071" t="str">
        <f>IFERROR(MATCH(A1071,'Periods 26-25'!$C$2:$C$13,1),"")</f>
        <v/>
      </c>
    </row>
    <row r="1072" spans="5:9" x14ac:dyDescent="0.3">
      <c r="E1072" s="4"/>
      <c r="I1072" t="str">
        <f>IFERROR(MATCH(A1072,'Periods 26-25'!$C$2:$C$13,1),"")</f>
        <v/>
      </c>
    </row>
    <row r="1073" spans="5:9" x14ac:dyDescent="0.3">
      <c r="E1073" s="4"/>
      <c r="I1073" t="str">
        <f>IFERROR(MATCH(A1073,'Periods 26-25'!$C$2:$C$13,1),"")</f>
        <v/>
      </c>
    </row>
    <row r="1074" spans="5:9" x14ac:dyDescent="0.3">
      <c r="E1074" s="4"/>
      <c r="I1074" t="str">
        <f>IFERROR(MATCH(A1074,'Periods 26-25'!$C$2:$C$13,1),"")</f>
        <v/>
      </c>
    </row>
    <row r="1075" spans="5:9" x14ac:dyDescent="0.3">
      <c r="E1075" s="4"/>
      <c r="I1075" t="str">
        <f>IFERROR(MATCH(A1075,'Periods 26-25'!$C$2:$C$13,1),"")</f>
        <v/>
      </c>
    </row>
    <row r="1076" spans="5:9" x14ac:dyDescent="0.3">
      <c r="E1076" s="4"/>
      <c r="I1076" t="str">
        <f>IFERROR(MATCH(A1076,'Periods 26-25'!$C$2:$C$13,1),"")</f>
        <v/>
      </c>
    </row>
    <row r="1077" spans="5:9" x14ac:dyDescent="0.3">
      <c r="E1077" s="4"/>
      <c r="I1077" t="str">
        <f>IFERROR(MATCH(A1077,'Periods 26-25'!$C$2:$C$13,1),"")</f>
        <v/>
      </c>
    </row>
    <row r="1078" spans="5:9" x14ac:dyDescent="0.3">
      <c r="E1078" s="4"/>
      <c r="I1078" t="str">
        <f>IFERROR(MATCH(A1078,'Periods 26-25'!$C$2:$C$13,1),"")</f>
        <v/>
      </c>
    </row>
    <row r="1079" spans="5:9" x14ac:dyDescent="0.3">
      <c r="E1079" s="4"/>
      <c r="I1079" t="str">
        <f>IFERROR(MATCH(A1079,'Periods 26-25'!$C$2:$C$13,1),"")</f>
        <v/>
      </c>
    </row>
    <row r="1080" spans="5:9" x14ac:dyDescent="0.3">
      <c r="E1080" s="4"/>
      <c r="I1080" t="str">
        <f>IFERROR(MATCH(A1080,'Periods 26-25'!$C$2:$C$13,1),"")</f>
        <v/>
      </c>
    </row>
    <row r="1081" spans="5:9" x14ac:dyDescent="0.3">
      <c r="E1081" s="4"/>
      <c r="I1081" t="str">
        <f>IFERROR(MATCH(A1081,'Periods 26-25'!$C$2:$C$13,1),"")</f>
        <v/>
      </c>
    </row>
    <row r="1082" spans="5:9" x14ac:dyDescent="0.3">
      <c r="E1082" s="4"/>
      <c r="I1082" t="str">
        <f>IFERROR(MATCH(A1082,'Periods 26-25'!$C$2:$C$13,1),"")</f>
        <v/>
      </c>
    </row>
    <row r="1083" spans="5:9" x14ac:dyDescent="0.3">
      <c r="E1083" s="4"/>
      <c r="I1083" t="str">
        <f>IFERROR(MATCH(A1083,'Periods 26-25'!$C$2:$C$13,1),"")</f>
        <v/>
      </c>
    </row>
    <row r="1084" spans="5:9" x14ac:dyDescent="0.3">
      <c r="E1084" s="4"/>
      <c r="I1084" t="str">
        <f>IFERROR(MATCH(A1084,'Periods 26-25'!$C$2:$C$13,1),"")</f>
        <v/>
      </c>
    </row>
    <row r="1085" spans="5:9" x14ac:dyDescent="0.3">
      <c r="E1085" s="4"/>
      <c r="I1085" t="str">
        <f>IFERROR(MATCH(A1085,'Periods 26-25'!$C$2:$C$13,1),"")</f>
        <v/>
      </c>
    </row>
    <row r="1086" spans="5:9" x14ac:dyDescent="0.3">
      <c r="E1086" s="4"/>
      <c r="I1086" t="str">
        <f>IFERROR(MATCH(A1086,'Periods 26-25'!$C$2:$C$13,1),"")</f>
        <v/>
      </c>
    </row>
    <row r="1087" spans="5:9" x14ac:dyDescent="0.3">
      <c r="E1087" s="4"/>
      <c r="I1087" t="str">
        <f>IFERROR(MATCH(A1087,'Periods 26-25'!$C$2:$C$13,1),"")</f>
        <v/>
      </c>
    </row>
    <row r="1088" spans="5:9" x14ac:dyDescent="0.3">
      <c r="E1088" s="4"/>
      <c r="I1088" t="str">
        <f>IFERROR(MATCH(A1088,'Periods 26-25'!$C$2:$C$13,1),"")</f>
        <v/>
      </c>
    </row>
    <row r="1089" spans="5:9" x14ac:dyDescent="0.3">
      <c r="E1089" s="4"/>
      <c r="I1089" t="str">
        <f>IFERROR(MATCH(A1089,'Periods 26-25'!$C$2:$C$13,1),"")</f>
        <v/>
      </c>
    </row>
    <row r="1090" spans="5:9" x14ac:dyDescent="0.3">
      <c r="E1090" s="4"/>
      <c r="I1090" t="str">
        <f>IFERROR(MATCH(A1090,'Periods 26-25'!$C$2:$C$13,1),"")</f>
        <v/>
      </c>
    </row>
    <row r="1091" spans="5:9" x14ac:dyDescent="0.3">
      <c r="E1091" s="4"/>
      <c r="I1091" t="str">
        <f>IFERROR(MATCH(A1091,'Periods 26-25'!$C$2:$C$13,1),"")</f>
        <v/>
      </c>
    </row>
    <row r="1092" spans="5:9" x14ac:dyDescent="0.3">
      <c r="E1092" s="4"/>
      <c r="I1092" t="str">
        <f>IFERROR(MATCH(A1092,'Periods 26-25'!$C$2:$C$13,1),"")</f>
        <v/>
      </c>
    </row>
    <row r="1093" spans="5:9" x14ac:dyDescent="0.3">
      <c r="E1093" s="4"/>
      <c r="I1093" t="str">
        <f>IFERROR(MATCH(A1093,'Periods 26-25'!$C$2:$C$13,1),"")</f>
        <v/>
      </c>
    </row>
    <row r="1094" spans="5:9" x14ac:dyDescent="0.3">
      <c r="E1094" s="4"/>
      <c r="I1094" t="str">
        <f>IFERROR(MATCH(A1094,'Periods 26-25'!$C$2:$C$13,1),"")</f>
        <v/>
      </c>
    </row>
    <row r="1095" spans="5:9" x14ac:dyDescent="0.3">
      <c r="E1095" s="4"/>
      <c r="I1095" t="str">
        <f>IFERROR(MATCH(A1095,'Periods 26-25'!$C$2:$C$13,1),"")</f>
        <v/>
      </c>
    </row>
    <row r="1096" spans="5:9" x14ac:dyDescent="0.3">
      <c r="E1096" s="4"/>
      <c r="I1096" t="str">
        <f>IFERROR(MATCH(A1096,'Periods 26-25'!$C$2:$C$13,1),"")</f>
        <v/>
      </c>
    </row>
    <row r="1097" spans="5:9" x14ac:dyDescent="0.3">
      <c r="E1097" s="4"/>
      <c r="I1097" t="str">
        <f>IFERROR(MATCH(A1097,'Periods 26-25'!$C$2:$C$13,1),"")</f>
        <v/>
      </c>
    </row>
    <row r="1098" spans="5:9" x14ac:dyDescent="0.3">
      <c r="E1098" s="4"/>
      <c r="I1098" t="str">
        <f>IFERROR(MATCH(A1098,'Periods 26-25'!$C$2:$C$13,1),"")</f>
        <v/>
      </c>
    </row>
    <row r="1099" spans="5:9" x14ac:dyDescent="0.3">
      <c r="E1099" s="4"/>
      <c r="I1099" t="str">
        <f>IFERROR(MATCH(A1099,'Periods 26-25'!$C$2:$C$13,1),"")</f>
        <v/>
      </c>
    </row>
    <row r="1100" spans="5:9" x14ac:dyDescent="0.3">
      <c r="E1100" s="4"/>
      <c r="I1100" t="str">
        <f>IFERROR(MATCH(A1100,'Periods 26-25'!$C$2:$C$13,1),"")</f>
        <v/>
      </c>
    </row>
    <row r="1101" spans="5:9" x14ac:dyDescent="0.3">
      <c r="E1101" s="4"/>
      <c r="I1101" t="str">
        <f>IFERROR(MATCH(A1101,'Periods 26-25'!$C$2:$C$13,1),"")</f>
        <v/>
      </c>
    </row>
    <row r="1102" spans="5:9" x14ac:dyDescent="0.3">
      <c r="E1102" s="4"/>
      <c r="I1102" t="str">
        <f>IFERROR(MATCH(A1102,'Periods 26-25'!$C$2:$C$13,1),"")</f>
        <v/>
      </c>
    </row>
    <row r="1103" spans="5:9" x14ac:dyDescent="0.3">
      <c r="E1103" s="4"/>
      <c r="I1103" t="str">
        <f>IFERROR(MATCH(A1103,'Periods 26-25'!$C$2:$C$13,1),"")</f>
        <v/>
      </c>
    </row>
    <row r="1104" spans="5:9" x14ac:dyDescent="0.3">
      <c r="E1104" s="4"/>
      <c r="I1104" t="str">
        <f>IFERROR(MATCH(A1104,'Periods 26-25'!$C$2:$C$13,1),"")</f>
        <v/>
      </c>
    </row>
    <row r="1105" spans="5:9" x14ac:dyDescent="0.3">
      <c r="E1105" s="4"/>
      <c r="I1105" t="str">
        <f>IFERROR(MATCH(A1105,'Periods 26-25'!$C$2:$C$13,1),"")</f>
        <v/>
      </c>
    </row>
    <row r="1106" spans="5:9" x14ac:dyDescent="0.3">
      <c r="E1106" s="4"/>
      <c r="I1106" t="str">
        <f>IFERROR(MATCH(A1106,'Periods 26-25'!$C$2:$C$13,1),"")</f>
        <v/>
      </c>
    </row>
    <row r="1107" spans="5:9" x14ac:dyDescent="0.3">
      <c r="E1107" s="4"/>
      <c r="I1107" t="str">
        <f>IFERROR(MATCH(A1107,'Periods 26-25'!$C$2:$C$13,1),"")</f>
        <v/>
      </c>
    </row>
    <row r="1108" spans="5:9" x14ac:dyDescent="0.3">
      <c r="E1108" s="4"/>
      <c r="I1108" t="str">
        <f>IFERROR(MATCH(A1108,'Periods 26-25'!$C$2:$C$13,1),"")</f>
        <v/>
      </c>
    </row>
    <row r="1109" spans="5:9" x14ac:dyDescent="0.3">
      <c r="E1109" s="4"/>
      <c r="I1109" t="str">
        <f>IFERROR(MATCH(A1109,'Periods 26-25'!$C$2:$C$13,1),"")</f>
        <v/>
      </c>
    </row>
    <row r="1110" spans="5:9" x14ac:dyDescent="0.3">
      <c r="E1110" s="4"/>
      <c r="I1110" t="str">
        <f>IFERROR(MATCH(A1110,'Periods 26-25'!$C$2:$C$13,1),"")</f>
        <v/>
      </c>
    </row>
    <row r="1111" spans="5:9" x14ac:dyDescent="0.3">
      <c r="E1111" s="4"/>
      <c r="I1111" t="str">
        <f>IFERROR(MATCH(A1111,'Periods 26-25'!$C$2:$C$13,1),"")</f>
        <v/>
      </c>
    </row>
    <row r="1112" spans="5:9" x14ac:dyDescent="0.3">
      <c r="E1112" s="4"/>
      <c r="I1112" t="str">
        <f>IFERROR(MATCH(A1112,'Periods 26-25'!$C$2:$C$13,1),"")</f>
        <v/>
      </c>
    </row>
    <row r="1113" spans="5:9" x14ac:dyDescent="0.3">
      <c r="E1113" s="4"/>
      <c r="I1113" t="str">
        <f>IFERROR(MATCH(A1113,'Periods 26-25'!$C$2:$C$13,1),"")</f>
        <v/>
      </c>
    </row>
    <row r="1114" spans="5:9" x14ac:dyDescent="0.3">
      <c r="E1114" s="4"/>
      <c r="I1114" t="str">
        <f>IFERROR(MATCH(A1114,'Periods 26-25'!$C$2:$C$13,1),"")</f>
        <v/>
      </c>
    </row>
    <row r="1115" spans="5:9" x14ac:dyDescent="0.3">
      <c r="E1115" s="4"/>
      <c r="I1115" t="str">
        <f>IFERROR(MATCH(A1115,'Periods 26-25'!$C$2:$C$13,1),"")</f>
        <v/>
      </c>
    </row>
    <row r="1116" spans="5:9" x14ac:dyDescent="0.3">
      <c r="E1116" s="4"/>
      <c r="I1116" t="str">
        <f>IFERROR(MATCH(A1116,'Periods 26-25'!$C$2:$C$13,1),"")</f>
        <v/>
      </c>
    </row>
    <row r="1117" spans="5:9" x14ac:dyDescent="0.3">
      <c r="E1117" s="4"/>
      <c r="I1117" t="str">
        <f>IFERROR(MATCH(A1117,'Periods 26-25'!$C$2:$C$13,1),"")</f>
        <v/>
      </c>
    </row>
    <row r="1118" spans="5:9" x14ac:dyDescent="0.3">
      <c r="E1118" s="4"/>
      <c r="I1118" t="str">
        <f>IFERROR(MATCH(A1118,'Periods 26-25'!$C$2:$C$13,1),"")</f>
        <v/>
      </c>
    </row>
    <row r="1119" spans="5:9" x14ac:dyDescent="0.3">
      <c r="E1119" s="4"/>
      <c r="I1119" t="str">
        <f>IFERROR(MATCH(A1119,'Periods 26-25'!$C$2:$C$13,1),"")</f>
        <v/>
      </c>
    </row>
    <row r="1120" spans="5:9" x14ac:dyDescent="0.3">
      <c r="E1120" s="4"/>
      <c r="I1120" t="str">
        <f>IFERROR(MATCH(A1120,'Periods 26-25'!$C$2:$C$13,1),"")</f>
        <v/>
      </c>
    </row>
    <row r="1121" spans="5:9" x14ac:dyDescent="0.3">
      <c r="E1121" s="4"/>
      <c r="I1121" t="str">
        <f>IFERROR(MATCH(A1121,'Periods 26-25'!$C$2:$C$13,1),"")</f>
        <v/>
      </c>
    </row>
    <row r="1122" spans="5:9" x14ac:dyDescent="0.3">
      <c r="E1122" s="4"/>
      <c r="I1122" t="str">
        <f>IFERROR(MATCH(A1122,'Periods 26-25'!$C$2:$C$13,1),"")</f>
        <v/>
      </c>
    </row>
    <row r="1123" spans="5:9" x14ac:dyDescent="0.3">
      <c r="E1123" s="4"/>
      <c r="I1123" t="str">
        <f>IFERROR(MATCH(A1123,'Periods 26-25'!$C$2:$C$13,1),"")</f>
        <v/>
      </c>
    </row>
    <row r="1124" spans="5:9" x14ac:dyDescent="0.3">
      <c r="E1124" s="4"/>
      <c r="I1124" t="str">
        <f>IFERROR(MATCH(A1124,'Periods 26-25'!$C$2:$C$13,1),"")</f>
        <v/>
      </c>
    </row>
    <row r="1125" spans="5:9" x14ac:dyDescent="0.3">
      <c r="E1125" s="4"/>
      <c r="I1125" t="str">
        <f>IFERROR(MATCH(A1125,'Periods 26-25'!$C$2:$C$13,1),"")</f>
        <v/>
      </c>
    </row>
    <row r="1126" spans="5:9" x14ac:dyDescent="0.3">
      <c r="E1126" s="4"/>
      <c r="I1126" t="str">
        <f>IFERROR(MATCH(A1126,'Periods 26-25'!$C$2:$C$13,1),"")</f>
        <v/>
      </c>
    </row>
    <row r="1127" spans="5:9" x14ac:dyDescent="0.3">
      <c r="E1127" s="4"/>
      <c r="I1127" t="str">
        <f>IFERROR(MATCH(A1127,'Periods 26-25'!$C$2:$C$13,1),"")</f>
        <v/>
      </c>
    </row>
    <row r="1128" spans="5:9" x14ac:dyDescent="0.3">
      <c r="E1128" s="4"/>
      <c r="I1128" t="str">
        <f>IFERROR(MATCH(A1128,'Periods 26-25'!$C$2:$C$13,1),"")</f>
        <v/>
      </c>
    </row>
    <row r="1129" spans="5:9" x14ac:dyDescent="0.3">
      <c r="E1129" s="4"/>
      <c r="I1129" t="str">
        <f>IFERROR(MATCH(A1129,'Periods 26-25'!$C$2:$C$13,1),"")</f>
        <v/>
      </c>
    </row>
    <row r="1130" spans="5:9" x14ac:dyDescent="0.3">
      <c r="E1130" s="4"/>
      <c r="I1130" t="str">
        <f>IFERROR(MATCH(A1130,'Periods 26-25'!$C$2:$C$13,1),"")</f>
        <v/>
      </c>
    </row>
    <row r="1131" spans="5:9" x14ac:dyDescent="0.3">
      <c r="E1131" s="4"/>
      <c r="I1131" t="str">
        <f>IFERROR(MATCH(A1131,'Periods 26-25'!$C$2:$C$13,1),"")</f>
        <v/>
      </c>
    </row>
    <row r="1132" spans="5:9" x14ac:dyDescent="0.3">
      <c r="E1132" s="4"/>
      <c r="I1132" t="str">
        <f>IFERROR(MATCH(A1132,'Periods 26-25'!$C$2:$C$13,1),"")</f>
        <v/>
      </c>
    </row>
    <row r="1133" spans="5:9" x14ac:dyDescent="0.3">
      <c r="E1133" s="4"/>
      <c r="I1133" t="str">
        <f>IFERROR(MATCH(A1133,'Periods 26-25'!$C$2:$C$13,1),"")</f>
        <v/>
      </c>
    </row>
    <row r="1134" spans="5:9" x14ac:dyDescent="0.3">
      <c r="E1134" s="4"/>
      <c r="I1134" t="str">
        <f>IFERROR(MATCH(A1134,'Periods 26-25'!$C$2:$C$13,1),"")</f>
        <v/>
      </c>
    </row>
    <row r="1135" spans="5:9" x14ac:dyDescent="0.3">
      <c r="E1135" s="4"/>
      <c r="I1135" t="str">
        <f>IFERROR(MATCH(A1135,'Periods 26-25'!$C$2:$C$13,1),"")</f>
        <v/>
      </c>
    </row>
    <row r="1136" spans="5:9" x14ac:dyDescent="0.3">
      <c r="E1136" s="4"/>
      <c r="I1136" t="str">
        <f>IFERROR(MATCH(A1136,'Periods 26-25'!$C$2:$C$13,1),"")</f>
        <v/>
      </c>
    </row>
    <row r="1137" spans="5:9" x14ac:dyDescent="0.3">
      <c r="E1137" s="4"/>
      <c r="I1137" t="str">
        <f>IFERROR(MATCH(A1137,'Periods 26-25'!$C$2:$C$13,1),"")</f>
        <v/>
      </c>
    </row>
    <row r="1138" spans="5:9" x14ac:dyDescent="0.3">
      <c r="E1138" s="4"/>
      <c r="I1138" t="str">
        <f>IFERROR(MATCH(A1138,'Periods 26-25'!$C$2:$C$13,1),"")</f>
        <v/>
      </c>
    </row>
    <row r="1139" spans="5:9" x14ac:dyDescent="0.3">
      <c r="E1139" s="4"/>
      <c r="I1139" t="str">
        <f>IFERROR(MATCH(A1139,'Periods 26-25'!$C$2:$C$13,1),"")</f>
        <v/>
      </c>
    </row>
    <row r="1140" spans="5:9" x14ac:dyDescent="0.3">
      <c r="E1140" s="4"/>
      <c r="I1140" t="str">
        <f>IFERROR(MATCH(A1140,'Periods 26-25'!$C$2:$C$13,1),"")</f>
        <v/>
      </c>
    </row>
    <row r="1141" spans="5:9" x14ac:dyDescent="0.3">
      <c r="E1141" s="4"/>
      <c r="I1141" t="str">
        <f>IFERROR(MATCH(A1141,'Periods 26-25'!$C$2:$C$13,1),"")</f>
        <v/>
      </c>
    </row>
    <row r="1142" spans="5:9" x14ac:dyDescent="0.3">
      <c r="E1142" s="4"/>
      <c r="I1142" t="str">
        <f>IFERROR(MATCH(A1142,'Periods 26-25'!$C$2:$C$13,1),"")</f>
        <v/>
      </c>
    </row>
    <row r="1143" spans="5:9" x14ac:dyDescent="0.3">
      <c r="E1143" s="4"/>
      <c r="I1143" t="str">
        <f>IFERROR(MATCH(A1143,'Periods 26-25'!$C$2:$C$13,1),"")</f>
        <v/>
      </c>
    </row>
    <row r="1144" spans="5:9" x14ac:dyDescent="0.3">
      <c r="E1144" s="4"/>
      <c r="I1144" t="str">
        <f>IFERROR(MATCH(A1144,'Periods 26-25'!$C$2:$C$13,1),"")</f>
        <v/>
      </c>
    </row>
    <row r="1145" spans="5:9" x14ac:dyDescent="0.3">
      <c r="E1145" s="4"/>
      <c r="I1145" t="str">
        <f>IFERROR(MATCH(A1145,'Periods 26-25'!$C$2:$C$13,1),"")</f>
        <v/>
      </c>
    </row>
    <row r="1146" spans="5:9" x14ac:dyDescent="0.3">
      <c r="E1146" s="4"/>
      <c r="I1146" t="str">
        <f>IFERROR(MATCH(A1146,'Periods 26-25'!$C$2:$C$13,1),"")</f>
        <v/>
      </c>
    </row>
    <row r="1147" spans="5:9" x14ac:dyDescent="0.3">
      <c r="E1147" s="4"/>
      <c r="I1147" t="str">
        <f>IFERROR(MATCH(A1147,'Periods 26-25'!$C$2:$C$13,1),"")</f>
        <v/>
      </c>
    </row>
    <row r="1148" spans="5:9" x14ac:dyDescent="0.3">
      <c r="E1148" s="4"/>
      <c r="I1148" t="str">
        <f>IFERROR(MATCH(A1148,'Periods 26-25'!$C$2:$C$13,1),"")</f>
        <v/>
      </c>
    </row>
    <row r="1149" spans="5:9" x14ac:dyDescent="0.3">
      <c r="E1149" s="4"/>
      <c r="I1149" t="str">
        <f>IFERROR(MATCH(A1149,'Periods 26-25'!$C$2:$C$13,1),"")</f>
        <v/>
      </c>
    </row>
    <row r="1150" spans="5:9" x14ac:dyDescent="0.3">
      <c r="E1150" s="4"/>
      <c r="I1150" t="str">
        <f>IFERROR(MATCH(A1150,'Periods 26-25'!$C$2:$C$13,1),"")</f>
        <v/>
      </c>
    </row>
    <row r="1151" spans="5:9" x14ac:dyDescent="0.3">
      <c r="E1151" s="4"/>
      <c r="I1151" t="str">
        <f>IFERROR(MATCH(A1151,'Periods 26-25'!$C$2:$C$13,1),"")</f>
        <v/>
      </c>
    </row>
    <row r="1152" spans="5:9" x14ac:dyDescent="0.3">
      <c r="E1152" s="4"/>
      <c r="I1152" t="str">
        <f>IFERROR(MATCH(A1152,'Periods 26-25'!$C$2:$C$13,1),"")</f>
        <v/>
      </c>
    </row>
    <row r="1153" spans="5:9" x14ac:dyDescent="0.3">
      <c r="E1153" s="4"/>
      <c r="I1153" t="str">
        <f>IFERROR(MATCH(A1153,'Periods 26-25'!$C$2:$C$13,1),"")</f>
        <v/>
      </c>
    </row>
    <row r="1154" spans="5:9" x14ac:dyDescent="0.3">
      <c r="E1154" s="4"/>
      <c r="I1154" t="str">
        <f>IFERROR(MATCH(A1154,'Periods 26-25'!$C$2:$C$13,1),"")</f>
        <v/>
      </c>
    </row>
    <row r="1155" spans="5:9" x14ac:dyDescent="0.3">
      <c r="E1155" s="4"/>
      <c r="I1155" t="str">
        <f>IFERROR(MATCH(A1155,'Periods 26-25'!$C$2:$C$13,1),"")</f>
        <v/>
      </c>
    </row>
    <row r="1156" spans="5:9" x14ac:dyDescent="0.3">
      <c r="E1156" s="4"/>
      <c r="I1156" t="str">
        <f>IFERROR(MATCH(A1156,'Periods 26-25'!$C$2:$C$13,1),"")</f>
        <v/>
      </c>
    </row>
    <row r="1157" spans="5:9" x14ac:dyDescent="0.3">
      <c r="E1157" s="4"/>
      <c r="I1157" t="str">
        <f>IFERROR(MATCH(A1157,'Periods 26-25'!$C$2:$C$13,1),"")</f>
        <v/>
      </c>
    </row>
    <row r="1158" spans="5:9" x14ac:dyDescent="0.3">
      <c r="E1158" s="4"/>
      <c r="I1158" t="str">
        <f>IFERROR(MATCH(A1158,'Periods 26-25'!$C$2:$C$13,1),"")</f>
        <v/>
      </c>
    </row>
    <row r="1159" spans="5:9" x14ac:dyDescent="0.3">
      <c r="E1159" s="4"/>
      <c r="I1159" t="str">
        <f>IFERROR(MATCH(A1159,'Periods 26-25'!$C$2:$C$13,1),"")</f>
        <v/>
      </c>
    </row>
    <row r="1160" spans="5:9" x14ac:dyDescent="0.3">
      <c r="E1160" s="4"/>
      <c r="I1160" t="str">
        <f>IFERROR(MATCH(A1160,'Periods 26-25'!$C$2:$C$13,1),"")</f>
        <v/>
      </c>
    </row>
    <row r="1161" spans="5:9" x14ac:dyDescent="0.3">
      <c r="E1161" s="4"/>
      <c r="I1161" t="str">
        <f>IFERROR(MATCH(A1161,'Periods 26-25'!$C$2:$C$13,1),"")</f>
        <v/>
      </c>
    </row>
    <row r="1162" spans="5:9" x14ac:dyDescent="0.3">
      <c r="E1162" s="4"/>
      <c r="I1162" t="str">
        <f>IFERROR(MATCH(A1162,'Periods 26-25'!$C$2:$C$13,1),"")</f>
        <v/>
      </c>
    </row>
    <row r="1163" spans="5:9" x14ac:dyDescent="0.3">
      <c r="E1163" s="4"/>
      <c r="I1163" t="str">
        <f>IFERROR(MATCH(A1163,'Periods 26-25'!$C$2:$C$13,1),"")</f>
        <v/>
      </c>
    </row>
    <row r="1164" spans="5:9" x14ac:dyDescent="0.3">
      <c r="E1164" s="4"/>
      <c r="I1164" t="str">
        <f>IFERROR(MATCH(A1164,'Periods 26-25'!$C$2:$C$13,1),"")</f>
        <v/>
      </c>
    </row>
    <row r="1165" spans="5:9" x14ac:dyDescent="0.3">
      <c r="E1165" s="4"/>
      <c r="I1165" t="str">
        <f>IFERROR(MATCH(A1165,'Periods 26-25'!$C$2:$C$13,1),"")</f>
        <v/>
      </c>
    </row>
    <row r="1166" spans="5:9" x14ac:dyDescent="0.3">
      <c r="E1166" s="4"/>
      <c r="I1166" t="str">
        <f>IFERROR(MATCH(A1166,'Periods 26-25'!$C$2:$C$13,1),"")</f>
        <v/>
      </c>
    </row>
    <row r="1167" spans="5:9" x14ac:dyDescent="0.3">
      <c r="E1167" s="4"/>
      <c r="I1167" t="str">
        <f>IFERROR(MATCH(A1167,'Periods 26-25'!$C$2:$C$13,1),"")</f>
        <v/>
      </c>
    </row>
    <row r="1168" spans="5:9" x14ac:dyDescent="0.3">
      <c r="E1168" s="4"/>
      <c r="I1168" t="str">
        <f>IFERROR(MATCH(A1168,'Periods 26-25'!$C$2:$C$13,1),"")</f>
        <v/>
      </c>
    </row>
    <row r="1169" spans="5:9" x14ac:dyDescent="0.3">
      <c r="E1169" s="4"/>
      <c r="I1169" t="str">
        <f>IFERROR(MATCH(A1169,'Periods 26-25'!$C$2:$C$13,1),"")</f>
        <v/>
      </c>
    </row>
    <row r="1170" spans="5:9" x14ac:dyDescent="0.3">
      <c r="E1170" s="4"/>
      <c r="I1170" t="str">
        <f>IFERROR(MATCH(A1170,'Periods 26-25'!$C$2:$C$13,1),"")</f>
        <v/>
      </c>
    </row>
    <row r="1171" spans="5:9" x14ac:dyDescent="0.3">
      <c r="E1171" s="4"/>
      <c r="I1171" t="str">
        <f>IFERROR(MATCH(A1171,'Periods 26-25'!$C$2:$C$13,1),"")</f>
        <v/>
      </c>
    </row>
    <row r="1172" spans="5:9" x14ac:dyDescent="0.3">
      <c r="E1172" s="4"/>
      <c r="I1172" t="str">
        <f>IFERROR(MATCH(A1172,'Periods 26-25'!$C$2:$C$13,1),"")</f>
        <v/>
      </c>
    </row>
    <row r="1173" spans="5:9" x14ac:dyDescent="0.3">
      <c r="E1173" s="4"/>
      <c r="I1173" t="str">
        <f>IFERROR(MATCH(A1173,'Periods 26-25'!$C$2:$C$13,1),"")</f>
        <v/>
      </c>
    </row>
    <row r="1174" spans="5:9" x14ac:dyDescent="0.3">
      <c r="E1174" s="4"/>
      <c r="I1174" t="str">
        <f>IFERROR(MATCH(A1174,'Periods 26-25'!$C$2:$C$13,1),"")</f>
        <v/>
      </c>
    </row>
    <row r="1175" spans="5:9" x14ac:dyDescent="0.3">
      <c r="E1175" s="4"/>
      <c r="I1175" t="str">
        <f>IFERROR(MATCH(A1175,'Periods 26-25'!$C$2:$C$13,1),"")</f>
        <v/>
      </c>
    </row>
    <row r="1176" spans="5:9" x14ac:dyDescent="0.3">
      <c r="E1176" s="4"/>
      <c r="I1176" t="str">
        <f>IFERROR(MATCH(A1176,'Periods 26-25'!$C$2:$C$13,1),"")</f>
        <v/>
      </c>
    </row>
    <row r="1177" spans="5:9" x14ac:dyDescent="0.3">
      <c r="E1177" s="4"/>
      <c r="I1177" t="str">
        <f>IFERROR(MATCH(A1177,'Periods 26-25'!$C$2:$C$13,1),"")</f>
        <v/>
      </c>
    </row>
    <row r="1178" spans="5:9" x14ac:dyDescent="0.3">
      <c r="E1178" s="4"/>
      <c r="I1178" t="str">
        <f>IFERROR(MATCH(A1178,'Periods 26-25'!$C$2:$C$13,1),"")</f>
        <v/>
      </c>
    </row>
    <row r="1179" spans="5:9" x14ac:dyDescent="0.3">
      <c r="E1179" s="4"/>
      <c r="I1179" t="str">
        <f>IFERROR(MATCH(A1179,'Periods 26-25'!$C$2:$C$13,1),"")</f>
        <v/>
      </c>
    </row>
    <row r="1180" spans="5:9" x14ac:dyDescent="0.3">
      <c r="E1180" s="4"/>
      <c r="I1180" t="str">
        <f>IFERROR(MATCH(A1180,'Periods 26-25'!$C$2:$C$13,1),"")</f>
        <v/>
      </c>
    </row>
    <row r="1181" spans="5:9" x14ac:dyDescent="0.3">
      <c r="E1181" s="4"/>
      <c r="I1181" t="str">
        <f>IFERROR(MATCH(A1181,'Periods 26-25'!$C$2:$C$13,1),"")</f>
        <v/>
      </c>
    </row>
    <row r="1182" spans="5:9" x14ac:dyDescent="0.3">
      <c r="E1182" s="4"/>
      <c r="I1182" t="str">
        <f>IFERROR(MATCH(A1182,'Periods 26-25'!$C$2:$C$13,1),"")</f>
        <v/>
      </c>
    </row>
    <row r="1183" spans="5:9" x14ac:dyDescent="0.3">
      <c r="E1183" s="4"/>
      <c r="I1183" t="str">
        <f>IFERROR(MATCH(A1183,'Periods 26-25'!$C$2:$C$13,1),"")</f>
        <v/>
      </c>
    </row>
    <row r="1184" spans="5:9" x14ac:dyDescent="0.3">
      <c r="E1184" s="4"/>
      <c r="I1184" t="str">
        <f>IFERROR(MATCH(A1184,'Periods 26-25'!$C$2:$C$13,1),"")</f>
        <v/>
      </c>
    </row>
    <row r="1185" spans="5:9" x14ac:dyDescent="0.3">
      <c r="E1185" s="4"/>
      <c r="I1185" t="str">
        <f>IFERROR(MATCH(A1185,'Periods 26-25'!$C$2:$C$13,1),"")</f>
        <v/>
      </c>
    </row>
    <row r="1186" spans="5:9" x14ac:dyDescent="0.3">
      <c r="E1186" s="4"/>
      <c r="I1186" t="str">
        <f>IFERROR(MATCH(A1186,'Periods 26-25'!$C$2:$C$13,1),"")</f>
        <v/>
      </c>
    </row>
    <row r="1187" spans="5:9" x14ac:dyDescent="0.3">
      <c r="E1187" s="4"/>
      <c r="I1187" t="str">
        <f>IFERROR(MATCH(A1187,'Periods 26-25'!$C$2:$C$13,1),"")</f>
        <v/>
      </c>
    </row>
    <row r="1188" spans="5:9" x14ac:dyDescent="0.3">
      <c r="E1188" s="4"/>
      <c r="I1188" t="str">
        <f>IFERROR(MATCH(A1188,'Periods 26-25'!$C$2:$C$13,1),"")</f>
        <v/>
      </c>
    </row>
    <row r="1189" spans="5:9" x14ac:dyDescent="0.3">
      <c r="E1189" s="4"/>
      <c r="I1189" t="str">
        <f>IFERROR(MATCH(A1189,'Periods 26-25'!$C$2:$C$13,1),"")</f>
        <v/>
      </c>
    </row>
    <row r="1190" spans="5:9" x14ac:dyDescent="0.3">
      <c r="E1190" s="4"/>
      <c r="I1190" t="str">
        <f>IFERROR(MATCH(A1190,'Periods 26-25'!$C$2:$C$13,1),"")</f>
        <v/>
      </c>
    </row>
    <row r="1191" spans="5:9" x14ac:dyDescent="0.3">
      <c r="E1191" s="4"/>
      <c r="I1191" t="str">
        <f>IFERROR(MATCH(A1191,'Periods 26-25'!$C$2:$C$13,1),"")</f>
        <v/>
      </c>
    </row>
    <row r="1192" spans="5:9" x14ac:dyDescent="0.3">
      <c r="E1192" s="4"/>
      <c r="I1192" t="str">
        <f>IFERROR(MATCH(A1192,'Periods 26-25'!$C$2:$C$13,1),"")</f>
        <v/>
      </c>
    </row>
    <row r="1193" spans="5:9" x14ac:dyDescent="0.3">
      <c r="E1193" s="4"/>
      <c r="I1193" t="str">
        <f>IFERROR(MATCH(A1193,'Periods 26-25'!$C$2:$C$13,1),"")</f>
        <v/>
      </c>
    </row>
    <row r="1194" spans="5:9" x14ac:dyDescent="0.3">
      <c r="E1194" s="4"/>
      <c r="I1194" t="str">
        <f>IFERROR(MATCH(A1194,'Periods 26-25'!$C$2:$C$13,1),"")</f>
        <v/>
      </c>
    </row>
    <row r="1195" spans="5:9" x14ac:dyDescent="0.3">
      <c r="E1195" s="4"/>
      <c r="I1195" t="str">
        <f>IFERROR(MATCH(A1195,'Periods 26-25'!$C$2:$C$13,1),"")</f>
        <v/>
      </c>
    </row>
    <row r="1196" spans="5:9" x14ac:dyDescent="0.3">
      <c r="E1196" s="4"/>
      <c r="I1196" t="str">
        <f>IFERROR(MATCH(A1196,'Periods 26-25'!$C$2:$C$13,1),"")</f>
        <v/>
      </c>
    </row>
    <row r="1197" spans="5:9" x14ac:dyDescent="0.3">
      <c r="E1197" s="4"/>
      <c r="I1197" t="str">
        <f>IFERROR(MATCH(A1197,'Periods 26-25'!$C$2:$C$13,1),"")</f>
        <v/>
      </c>
    </row>
    <row r="1198" spans="5:9" x14ac:dyDescent="0.3">
      <c r="E1198" s="4"/>
      <c r="I1198" t="str">
        <f>IFERROR(MATCH(A1198,'Periods 26-25'!$C$2:$C$13,1),"")</f>
        <v/>
      </c>
    </row>
    <row r="1199" spans="5:9" x14ac:dyDescent="0.3">
      <c r="E1199" s="4"/>
      <c r="I1199" t="str">
        <f>IFERROR(MATCH(A1199,'Periods 26-25'!$C$2:$C$13,1),"")</f>
        <v/>
      </c>
    </row>
    <row r="1200" spans="5:9" x14ac:dyDescent="0.3">
      <c r="E1200" s="4"/>
      <c r="I1200" t="str">
        <f>IFERROR(MATCH(A1200,'Periods 26-25'!$C$2:$C$13,1),"")</f>
        <v/>
      </c>
    </row>
  </sheetData>
  <dataValidations count="2">
    <dataValidation type="list" allowBlank="1" sqref="B2:B1200" xr:uid="{00000000-0002-0000-0400-000000000000}">
      <formula1>"Income,Expense,Transfer"</formula1>
    </dataValidation>
    <dataValidation type="list" allowBlank="1" sqref="F2:F1200" xr:uid="{00000000-0002-0000-0400-000001000000}">
      <formula1>"No,Yes"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2000000}">
          <x14:formula1>
            <xm:f>Setup!$B$17:$B$54</xm:f>
          </x14:formula1>
          <xm:sqref>C2:C1200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6A6A"/>
  </sheetPr>
  <dimension ref="A1:T30"/>
  <sheetViews>
    <sheetView zoomScale="110" zoomScaleNormal="110" workbookViewId="0">
      <pane ySplit="2" topLeftCell="A3" activePane="bottomLeft" state="frozen"/>
      <selection pane="bottomLeft" activeCell="C4" sqref="C4"/>
    </sheetView>
  </sheetViews>
  <sheetFormatPr defaultRowHeight="14.4" outlineLevelRow="3" outlineLevelCol="1" x14ac:dyDescent="0.3"/>
  <cols>
    <col min="1" max="1" width="26" customWidth="1"/>
    <col min="2" max="3" width="16" customWidth="1"/>
    <col min="4" max="4" width="12" customWidth="1"/>
    <col min="5" max="5" width="10" customWidth="1"/>
    <col min="6" max="6" width="18" customWidth="1"/>
    <col min="7" max="7" width="14" customWidth="1"/>
    <col min="8" max="8" width="28" customWidth="1"/>
    <col min="10" max="11" width="8.88671875" outlineLevel="1"/>
    <col min="12" max="12" width="9.33203125" bestFit="1" customWidth="1"/>
    <col min="14" max="15" width="9.33203125" bestFit="1" customWidth="1"/>
    <col min="16" max="16" width="9.44140625" bestFit="1" customWidth="1"/>
    <col min="17" max="17" width="9" bestFit="1" customWidth="1"/>
    <col min="18" max="19" width="9.33203125" bestFit="1" customWidth="1"/>
  </cols>
  <sheetData>
    <row r="1" spans="1:20" ht="18" customHeight="1" thickBot="1" x14ac:dyDescent="0.4">
      <c r="A1" s="44" t="s">
        <v>125</v>
      </c>
    </row>
    <row r="2" spans="1:20" x14ac:dyDescent="0.3">
      <c r="A2" s="10" t="s">
        <v>126</v>
      </c>
      <c r="B2" s="10" t="s">
        <v>127</v>
      </c>
      <c r="C2" s="10" t="s">
        <v>128</v>
      </c>
      <c r="D2" s="10" t="s">
        <v>129</v>
      </c>
      <c r="E2" s="10" t="s">
        <v>65</v>
      </c>
      <c r="F2" s="10" t="s">
        <v>130</v>
      </c>
      <c r="G2" s="10" t="s">
        <v>131</v>
      </c>
      <c r="H2" s="10" t="s">
        <v>61</v>
      </c>
      <c r="K2" s="99"/>
      <c r="L2" s="100"/>
      <c r="M2" s="100"/>
      <c r="N2" s="100"/>
      <c r="O2" s="101" t="s">
        <v>284</v>
      </c>
      <c r="P2" s="100"/>
      <c r="Q2" s="100"/>
      <c r="R2" s="102"/>
    </row>
    <row r="3" spans="1:20" x14ac:dyDescent="0.3">
      <c r="A3" s="8" t="s">
        <v>24</v>
      </c>
      <c r="B3" s="8">
        <v>28</v>
      </c>
      <c r="C3" s="13">
        <v>550</v>
      </c>
      <c r="D3" s="8"/>
      <c r="E3" s="8">
        <v>1</v>
      </c>
      <c r="F3" s="13">
        <f>IF($E3="","",SUMIFS(Transactions!$E:$E,Transactions!$C:$C,$A3,Transactions!$B:$B,"Expense",Transactions!$I:$I,$E3))</f>
        <v>0</v>
      </c>
      <c r="G3" s="13">
        <f t="shared" ref="G3:G17" si="0">F3-C3</f>
        <v>-550</v>
      </c>
      <c r="H3" s="8"/>
      <c r="K3" s="103" t="s">
        <v>279</v>
      </c>
      <c r="L3" s="95"/>
      <c r="M3" s="95"/>
      <c r="N3" s="95"/>
      <c r="O3" s="112" t="s">
        <v>285</v>
      </c>
      <c r="P3" s="112" t="s">
        <v>288</v>
      </c>
      <c r="Q3" s="112" t="s">
        <v>288</v>
      </c>
      <c r="R3" s="104"/>
    </row>
    <row r="4" spans="1:20" x14ac:dyDescent="0.3">
      <c r="A4" s="8" t="s">
        <v>25</v>
      </c>
      <c r="B4" s="8">
        <v>28</v>
      </c>
      <c r="C4" s="13">
        <v>175</v>
      </c>
      <c r="D4" s="8"/>
      <c r="E4" s="8">
        <v>1</v>
      </c>
      <c r="F4" s="13">
        <f>IF($E4="","",SUMIFS(Transactions!$E:$E,Transactions!$C:$C,$A4,Transactions!$B:$B,"Expense",Transactions!$I:$I,$E4))</f>
        <v>0</v>
      </c>
      <c r="G4" s="13">
        <f t="shared" si="0"/>
        <v>-175</v>
      </c>
      <c r="H4" s="8"/>
      <c r="K4" s="105" t="s">
        <v>280</v>
      </c>
      <c r="L4" s="95"/>
      <c r="M4" s="95"/>
      <c r="N4" s="95"/>
      <c r="O4" s="106">
        <v>516.63</v>
      </c>
      <c r="P4" s="106">
        <f>O4/15</f>
        <v>34.442</v>
      </c>
      <c r="Q4" s="106">
        <v>35</v>
      </c>
      <c r="R4" s="104" t="s">
        <v>286</v>
      </c>
    </row>
    <row r="5" spans="1:20" x14ac:dyDescent="0.3">
      <c r="A5" s="8" t="s">
        <v>26</v>
      </c>
      <c r="B5" s="8">
        <v>28</v>
      </c>
      <c r="C5" s="13">
        <v>34</v>
      </c>
      <c r="D5" s="8"/>
      <c r="E5" s="8">
        <v>1</v>
      </c>
      <c r="F5" s="13">
        <f>IF($E5="","",SUMIFS(Transactions!$E:$E,Transactions!$C:$C,$A5,Transactions!$B:$B,"Expense",Transactions!$I:$I,$E5))</f>
        <v>0</v>
      </c>
      <c r="G5" s="13">
        <f t="shared" si="0"/>
        <v>-34</v>
      </c>
      <c r="H5" s="8"/>
      <c r="K5" s="105" t="s">
        <v>281</v>
      </c>
      <c r="L5" s="95"/>
      <c r="M5" s="95"/>
      <c r="N5" s="95"/>
      <c r="O5" s="106">
        <v>1346.83</v>
      </c>
      <c r="P5" s="106">
        <f t="shared" ref="P5:P7" si="1">O5/15</f>
        <v>89.788666666666657</v>
      </c>
      <c r="Q5" s="106">
        <v>90</v>
      </c>
      <c r="R5" s="104" t="s">
        <v>287</v>
      </c>
    </row>
    <row r="6" spans="1:20" x14ac:dyDescent="0.3">
      <c r="A6" s="8" t="s">
        <v>27</v>
      </c>
      <c r="B6" s="8">
        <v>28</v>
      </c>
      <c r="C6" s="13">
        <v>93</v>
      </c>
      <c r="D6" s="8"/>
      <c r="E6" s="8">
        <v>1</v>
      </c>
      <c r="F6" s="13">
        <f>IF($E6="","",SUMIFS(Transactions!$E:$E,Transactions!$C:$C,$A6,Transactions!$B:$B,"Expense",Transactions!$I:$I,$E6))</f>
        <v>92.77</v>
      </c>
      <c r="G6" s="13">
        <f t="shared" si="0"/>
        <v>-0.23000000000000398</v>
      </c>
      <c r="H6" s="8"/>
      <c r="K6" s="105" t="s">
        <v>282</v>
      </c>
      <c r="L6" s="95"/>
      <c r="M6" s="95"/>
      <c r="N6" s="95"/>
      <c r="O6" s="106">
        <v>500</v>
      </c>
      <c r="P6" s="106">
        <f t="shared" si="1"/>
        <v>33.333333333333336</v>
      </c>
      <c r="Q6" s="106">
        <v>34</v>
      </c>
      <c r="R6" s="104" t="s">
        <v>287</v>
      </c>
    </row>
    <row r="7" spans="1:20" x14ac:dyDescent="0.3">
      <c r="A7" s="8" t="s">
        <v>29</v>
      </c>
      <c r="B7" s="8">
        <v>26</v>
      </c>
      <c r="C7" s="13">
        <v>37</v>
      </c>
      <c r="D7" s="8"/>
      <c r="E7" s="8">
        <v>1</v>
      </c>
      <c r="F7" s="13">
        <f>IF($E7="","",SUMIFS(Transactions!$E:$E,Transactions!$C:$C,$A7,Transactions!$B:$B,"Expense",Transactions!$I:$I,$E7))</f>
        <v>36.83</v>
      </c>
      <c r="G7" s="13">
        <f t="shared" si="0"/>
        <v>-0.17000000000000171</v>
      </c>
      <c r="H7" s="8"/>
      <c r="K7" s="107" t="s">
        <v>283</v>
      </c>
      <c r="L7" s="95"/>
      <c r="M7" s="95"/>
      <c r="N7" s="95"/>
      <c r="O7" s="106">
        <v>187.3</v>
      </c>
      <c r="P7" s="106">
        <f t="shared" si="1"/>
        <v>12.486666666666668</v>
      </c>
      <c r="Q7" s="106">
        <v>13</v>
      </c>
      <c r="R7" s="104" t="s">
        <v>287</v>
      </c>
    </row>
    <row r="8" spans="1:20" ht="15" outlineLevel="1" thickBot="1" x14ac:dyDescent="0.35">
      <c r="A8" s="8" t="s">
        <v>28</v>
      </c>
      <c r="B8" s="8">
        <v>26</v>
      </c>
      <c r="C8" s="13">
        <v>200</v>
      </c>
      <c r="D8" s="8"/>
      <c r="E8" s="8">
        <v>1</v>
      </c>
      <c r="F8" s="13">
        <f>IF($E8="","",SUMIFS(Transactions!$E:$E,Transactions!$C:$C,$A8,Transactions!$B:$B,"Expense",Transactions!$I:$I,$E8))</f>
        <v>50</v>
      </c>
      <c r="G8" s="13">
        <f t="shared" si="0"/>
        <v>-150</v>
      </c>
      <c r="H8" s="8"/>
      <c r="K8" s="108"/>
      <c r="L8" s="109"/>
      <c r="M8" s="109"/>
      <c r="N8" s="109"/>
      <c r="O8" s="110">
        <f>SUM(O4:O7)</f>
        <v>2550.7600000000002</v>
      </c>
      <c r="P8" s="110">
        <f t="shared" ref="P8:Q8" si="2">SUM(P4:P7)</f>
        <v>170.05066666666667</v>
      </c>
      <c r="Q8" s="110">
        <f t="shared" si="2"/>
        <v>172</v>
      </c>
      <c r="R8" s="111"/>
    </row>
    <row r="9" spans="1:20" outlineLevel="1" x14ac:dyDescent="0.3">
      <c r="A9" s="8" t="s">
        <v>30</v>
      </c>
      <c r="B9" s="8">
        <v>26</v>
      </c>
      <c r="C9" s="13">
        <v>108</v>
      </c>
      <c r="D9" s="8"/>
      <c r="E9" s="8">
        <v>1</v>
      </c>
      <c r="F9" s="13">
        <f>IF($E9="","",SUMIFS(Transactions!$E:$E,Transactions!$C:$C,$A9,Transactions!$B:$B,"Expense",Transactions!$I:$I,$E9))</f>
        <v>53.95</v>
      </c>
      <c r="G9" s="13">
        <f t="shared" si="0"/>
        <v>-54.05</v>
      </c>
      <c r="H9" s="8"/>
    </row>
    <row r="10" spans="1:20" outlineLevel="1" x14ac:dyDescent="0.3">
      <c r="A10" s="8" t="s">
        <v>31</v>
      </c>
      <c r="B10" s="8">
        <v>26</v>
      </c>
      <c r="C10" s="13">
        <v>140</v>
      </c>
      <c r="D10" s="8"/>
      <c r="E10" s="8">
        <v>1</v>
      </c>
      <c r="F10" s="13">
        <f>IF($E10="","",SUMIFS(Transactions!$E:$E,Transactions!$C:$C,$A10,Transactions!$B:$B,"Expense",Transactions!$I:$I,$E10))</f>
        <v>140</v>
      </c>
      <c r="G10" s="13">
        <f t="shared" si="0"/>
        <v>0</v>
      </c>
      <c r="H10" s="8"/>
    </row>
    <row r="11" spans="1:20" outlineLevel="1" x14ac:dyDescent="0.3">
      <c r="A11" s="8" t="s">
        <v>250</v>
      </c>
      <c r="B11" s="8">
        <v>26</v>
      </c>
      <c r="C11" s="13">
        <v>400</v>
      </c>
      <c r="D11" s="8"/>
      <c r="E11" s="8">
        <v>1</v>
      </c>
      <c r="F11" s="13">
        <f>IF($E11="","",SUMIFS(Transactions!$E:$E,Transactions!$C:$C,$A11,Transactions!$B:$B,"Expense",Transactions!$I:$I,$E11))</f>
        <v>438.91999999999996</v>
      </c>
      <c r="G11" s="13">
        <f t="shared" si="0"/>
        <v>38.919999999999959</v>
      </c>
      <c r="H11" s="8"/>
      <c r="Q11" s="97">
        <v>3500</v>
      </c>
    </row>
    <row r="12" spans="1:20" outlineLevel="1" x14ac:dyDescent="0.3">
      <c r="A12" s="8" t="s">
        <v>32</v>
      </c>
      <c r="B12" s="8">
        <v>26</v>
      </c>
      <c r="C12" s="13">
        <v>100</v>
      </c>
      <c r="D12" s="8"/>
      <c r="E12" s="8">
        <v>1</v>
      </c>
      <c r="F12" s="13">
        <f>IF($E12="","",SUMIFS(Transactions!$E:$E,Transactions!$C:$C,$A12,Transactions!$B:$B,"Expense",Transactions!$I:$I,$E12))</f>
        <v>30.17</v>
      </c>
      <c r="G12" s="13">
        <f t="shared" si="0"/>
        <v>-69.83</v>
      </c>
      <c r="H12" s="8"/>
      <c r="Q12" s="97">
        <v>800</v>
      </c>
    </row>
    <row r="13" spans="1:20" x14ac:dyDescent="0.3">
      <c r="A13" s="8" t="s">
        <v>18</v>
      </c>
      <c r="B13" s="8">
        <v>26</v>
      </c>
      <c r="C13" s="13">
        <v>410</v>
      </c>
      <c r="D13" s="8"/>
      <c r="E13" s="8">
        <v>1</v>
      </c>
      <c r="F13" s="13">
        <f>IF($E13="","",SUMIFS(Transactions!$E:$E,Transactions!$C:$C,$A13,Transactions!$B:$B,"Expense",Transactions!$I:$I,$E13))</f>
        <v>383</v>
      </c>
      <c r="G13" s="13">
        <f t="shared" si="0"/>
        <v>-27</v>
      </c>
      <c r="H13" s="8"/>
      <c r="Q13" s="97">
        <v>400</v>
      </c>
      <c r="S13" s="98">
        <f>SUM(Q11:Q13)</f>
        <v>4700</v>
      </c>
    </row>
    <row r="14" spans="1:20" x14ac:dyDescent="0.3">
      <c r="A14" s="8" t="s">
        <v>19</v>
      </c>
      <c r="B14" s="8">
        <v>26</v>
      </c>
      <c r="C14" s="13">
        <v>165</v>
      </c>
      <c r="D14" s="8"/>
      <c r="E14" s="8">
        <v>1</v>
      </c>
      <c r="F14" s="13">
        <f>IF($E14="","",SUMIFS(Transactions!$E:$E,Transactions!$C:$C,$A14,Transactions!$B:$B,"Expense",Transactions!$I:$I,$E14))</f>
        <v>140</v>
      </c>
      <c r="G14" s="13">
        <f t="shared" si="0"/>
        <v>-25</v>
      </c>
      <c r="H14" s="8"/>
      <c r="Q14" s="92">
        <v>3165</v>
      </c>
      <c r="S14" s="98">
        <f>S13-Q14</f>
        <v>1535</v>
      </c>
      <c r="T14">
        <f>S14/S13</f>
        <v>0.32659574468085106</v>
      </c>
    </row>
    <row r="15" spans="1:20" outlineLevel="2" x14ac:dyDescent="0.3">
      <c r="A15" s="8" t="s">
        <v>20</v>
      </c>
      <c r="B15" s="8">
        <v>26</v>
      </c>
      <c r="C15" s="13">
        <v>50</v>
      </c>
      <c r="D15" s="8"/>
      <c r="E15" s="8">
        <v>1</v>
      </c>
      <c r="F15" s="13">
        <f>IF($E15="","",SUMIFS(Transactions!$E:$E,Transactions!$C:$C,$A15,Transactions!$B:$B,"Expense",Transactions!$I:$I,$E15))</f>
        <v>50</v>
      </c>
      <c r="G15" s="13">
        <f t="shared" si="0"/>
        <v>0</v>
      </c>
      <c r="H15" s="8"/>
      <c r="J15" s="92">
        <v>3163</v>
      </c>
    </row>
    <row r="16" spans="1:20" outlineLevel="3" x14ac:dyDescent="0.3">
      <c r="A16" s="8" t="s">
        <v>21</v>
      </c>
      <c r="B16" s="8">
        <v>26</v>
      </c>
      <c r="C16" s="13">
        <v>100</v>
      </c>
      <c r="D16" s="8"/>
      <c r="E16" s="8">
        <v>1</v>
      </c>
      <c r="F16" s="13">
        <f>IF($E16="","",SUMIFS(Transactions!$E:$E,Transactions!$C:$C,$A16,Transactions!$B:$B,"Expense",Transactions!$I:$I,$E16))</f>
        <v>100</v>
      </c>
      <c r="G16" s="13">
        <f t="shared" si="0"/>
        <v>0</v>
      </c>
      <c r="H16" s="8"/>
      <c r="I16">
        <v>1104.6199999999999</v>
      </c>
      <c r="J16">
        <v>457.37</v>
      </c>
      <c r="K16">
        <v>130.68</v>
      </c>
      <c r="L16">
        <f>J16-K16</f>
        <v>326.69</v>
      </c>
      <c r="S16">
        <v>1050</v>
      </c>
      <c r="T16" s="98">
        <f>S16/S13</f>
        <v>0.22340425531914893</v>
      </c>
    </row>
    <row r="17" spans="1:19" outlineLevel="2" x14ac:dyDescent="0.3">
      <c r="A17" s="8" t="s">
        <v>37</v>
      </c>
      <c r="B17" s="8">
        <v>29</v>
      </c>
      <c r="C17" s="13">
        <v>1050</v>
      </c>
      <c r="D17" s="8"/>
      <c r="E17" s="8">
        <v>1</v>
      </c>
      <c r="F17" s="13">
        <f>IF($E17="","",SUMIFS(Transactions!$E:$E,Transactions!$C:$C,$A17,Transactions!$B:$B,"Transfer",Transactions!$I:$I,$E17))</f>
        <v>0</v>
      </c>
      <c r="G17" s="13">
        <f t="shared" si="0"/>
        <v>-1050</v>
      </c>
      <c r="H17" s="8"/>
      <c r="J17" s="92">
        <f>SUM(J15:J16)</f>
        <v>3620.37</v>
      </c>
    </row>
    <row r="18" spans="1:19" outlineLevel="2" x14ac:dyDescent="0.3">
      <c r="A18" s="83" t="s">
        <v>238</v>
      </c>
      <c r="B18" s="83">
        <v>29</v>
      </c>
      <c r="C18" s="88">
        <v>43</v>
      </c>
      <c r="E18" s="8">
        <v>1</v>
      </c>
      <c r="F18" s="13">
        <f>IF($E18="","",SUMIFS(Transactions!$E:$E,Transactions!$C:$C,$A18,Transactions!$B:$B,"Expense",Transactions!$I:$I,$E18))</f>
        <v>43</v>
      </c>
      <c r="G18" s="13">
        <f t="shared" ref="G18" si="3">F18-C18</f>
        <v>0</v>
      </c>
      <c r="J18">
        <v>3708</v>
      </c>
      <c r="S18" s="98">
        <f>S14-S16</f>
        <v>485</v>
      </c>
    </row>
    <row r="19" spans="1:19" outlineLevel="1" x14ac:dyDescent="0.3">
      <c r="A19" s="83" t="s">
        <v>241</v>
      </c>
      <c r="B19" s="83">
        <v>26</v>
      </c>
      <c r="C19" s="88">
        <v>560</v>
      </c>
      <c r="E19" s="83">
        <v>1</v>
      </c>
      <c r="F19" s="13">
        <f>IF($E19="","",SUMIFS(Transactions!$E:$E,Transactions!$C:$C,$A19,Transactions!$B:$B,"Expense",Transactions!$I:$I,$E19))</f>
        <v>129.97</v>
      </c>
      <c r="G19" s="13">
        <f t="shared" ref="G19" si="4">F19-C19</f>
        <v>-430.03</v>
      </c>
      <c r="J19" s="92">
        <f>J18-J17</f>
        <v>87.630000000000109</v>
      </c>
    </row>
    <row r="20" spans="1:19" outlineLevel="1" x14ac:dyDescent="0.3">
      <c r="A20" t="s">
        <v>39</v>
      </c>
      <c r="B20" s="83">
        <v>26</v>
      </c>
      <c r="C20" s="88">
        <v>500</v>
      </c>
      <c r="E20" s="83">
        <v>1</v>
      </c>
      <c r="F20" s="13">
        <f>IF($E20="","",SUMIFS(Transactions!$E:$E,Transactions!$C:$C,$A20,Transactions!$B:$B,"Expense",Transactions!$I:$I,$E20))</f>
        <v>457.37</v>
      </c>
      <c r="G20" s="13">
        <f t="shared" ref="G20" si="5">F20-C20</f>
        <v>-42.629999999999995</v>
      </c>
      <c r="H20" t="s">
        <v>261</v>
      </c>
    </row>
    <row r="21" spans="1:19" outlineLevel="1" x14ac:dyDescent="0.3">
      <c r="I21">
        <f>I16-J16+99</f>
        <v>746.24999999999989</v>
      </c>
    </row>
    <row r="22" spans="1:19" outlineLevel="1" x14ac:dyDescent="0.3">
      <c r="I22">
        <v>550</v>
      </c>
    </row>
    <row r="23" spans="1:19" outlineLevel="1" x14ac:dyDescent="0.3">
      <c r="I23">
        <v>111.62</v>
      </c>
    </row>
    <row r="24" spans="1:19" outlineLevel="1" x14ac:dyDescent="0.3">
      <c r="I24">
        <v>32.090000000000003</v>
      </c>
    </row>
    <row r="25" spans="1:19" outlineLevel="1" x14ac:dyDescent="0.3">
      <c r="I25">
        <v>25</v>
      </c>
    </row>
    <row r="26" spans="1:19" outlineLevel="1" x14ac:dyDescent="0.3"/>
    <row r="27" spans="1:19" x14ac:dyDescent="0.3">
      <c r="A27">
        <v>735.39</v>
      </c>
      <c r="B27" s="85"/>
      <c r="C27" t="s">
        <v>226</v>
      </c>
      <c r="I27">
        <f>I21-SUM(I22:I25)</f>
        <v>27.53999999999985</v>
      </c>
    </row>
    <row r="28" spans="1:19" x14ac:dyDescent="0.3">
      <c r="A28">
        <f>22.41+320</f>
        <v>342.41</v>
      </c>
      <c r="B28" s="86"/>
      <c r="C28" t="s">
        <v>225</v>
      </c>
    </row>
    <row r="29" spans="1:19" x14ac:dyDescent="0.3">
      <c r="A29">
        <f>173.67+350.15+300+25.06</f>
        <v>848.87999999999988</v>
      </c>
      <c r="B29" s="87"/>
      <c r="C29" t="s">
        <v>224</v>
      </c>
    </row>
    <row r="30" spans="1:19" x14ac:dyDescent="0.3">
      <c r="A30">
        <v>140</v>
      </c>
    </row>
  </sheetData>
  <pageMargins left="0.75" right="0.75" top="1" bottom="1" header="0.5" footer="0.5"/>
  <pageSetup paperSize="9" orientation="portrait" r:id="rId1"/>
  <ignoredErrors>
    <ignoredError sqref="F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AM30"/>
  <sheetViews>
    <sheetView workbookViewId="0">
      <pane ySplit="1" topLeftCell="A8" activePane="bottomLeft" state="frozen"/>
      <selection pane="bottomLeft" activeCell="F15" sqref="F15"/>
    </sheetView>
  </sheetViews>
  <sheetFormatPr defaultRowHeight="14.4" x14ac:dyDescent="0.3"/>
  <cols>
    <col min="1" max="1" width="12" customWidth="1"/>
    <col min="2" max="2" width="28" customWidth="1"/>
    <col min="3" max="3" width="16" customWidth="1"/>
    <col min="4" max="39" width="12" customWidth="1"/>
  </cols>
  <sheetData>
    <row r="1" spans="1:39" ht="86.4" customHeight="1" x14ac:dyDescent="0.3">
      <c r="A1" s="14" t="s">
        <v>133</v>
      </c>
      <c r="B1" s="14" t="s">
        <v>254</v>
      </c>
      <c r="C1" s="14"/>
      <c r="D1" s="14" t="s">
        <v>189</v>
      </c>
      <c r="E1" s="14" t="s">
        <v>253</v>
      </c>
      <c r="F1" s="14" t="s">
        <v>131</v>
      </c>
      <c r="G1" s="14" t="s">
        <v>189</v>
      </c>
      <c r="H1" s="14" t="s">
        <v>253</v>
      </c>
      <c r="I1" s="14" t="s">
        <v>131</v>
      </c>
      <c r="J1" s="14" t="s">
        <v>189</v>
      </c>
      <c r="K1" s="14" t="s">
        <v>253</v>
      </c>
      <c r="L1" s="14" t="s">
        <v>131</v>
      </c>
      <c r="M1" s="14" t="s">
        <v>189</v>
      </c>
      <c r="N1" s="14" t="s">
        <v>253</v>
      </c>
      <c r="O1" s="14" t="s">
        <v>131</v>
      </c>
      <c r="P1" s="14" t="s">
        <v>189</v>
      </c>
      <c r="Q1" s="14" t="s">
        <v>253</v>
      </c>
      <c r="R1" s="14" t="s">
        <v>131</v>
      </c>
      <c r="S1" s="14" t="s">
        <v>189</v>
      </c>
      <c r="T1" s="14" t="s">
        <v>253</v>
      </c>
      <c r="U1" s="14" t="s">
        <v>131</v>
      </c>
      <c r="V1" s="14" t="s">
        <v>189</v>
      </c>
      <c r="W1" s="14" t="s">
        <v>253</v>
      </c>
      <c r="X1" s="14" t="s">
        <v>131</v>
      </c>
      <c r="Y1" s="14" t="s">
        <v>189</v>
      </c>
      <c r="Z1" s="14" t="s">
        <v>253</v>
      </c>
      <c r="AA1" s="14" t="s">
        <v>131</v>
      </c>
      <c r="AB1" s="14" t="s">
        <v>189</v>
      </c>
      <c r="AC1" s="14" t="s">
        <v>253</v>
      </c>
      <c r="AD1" s="14" t="s">
        <v>131</v>
      </c>
      <c r="AE1" s="14" t="s">
        <v>189</v>
      </c>
      <c r="AF1" s="14" t="s">
        <v>253</v>
      </c>
      <c r="AG1" s="14" t="s">
        <v>131</v>
      </c>
      <c r="AH1" s="14" t="s">
        <v>189</v>
      </c>
      <c r="AI1" s="14" t="s">
        <v>253</v>
      </c>
      <c r="AJ1" s="14" t="s">
        <v>131</v>
      </c>
      <c r="AK1" s="14" t="s">
        <v>189</v>
      </c>
      <c r="AL1" s="14" t="s">
        <v>253</v>
      </c>
      <c r="AM1" s="14" t="s">
        <v>131</v>
      </c>
    </row>
    <row r="2" spans="1:39" x14ac:dyDescent="0.3">
      <c r="A2" s="15" t="s">
        <v>13</v>
      </c>
      <c r="B2" s="16" t="s">
        <v>14</v>
      </c>
      <c r="C2" s="13">
        <v>3500</v>
      </c>
      <c r="D2" s="13">
        <f t="shared" ref="D2:D25" si="0">$C2</f>
        <v>3500</v>
      </c>
      <c r="E2" s="13">
        <f>SUMIFS(Transactions!$E:$E,Transactions!$C:$C,$B2,Transactions!$B:$B,"Income",Transactions!$I:$I,1)</f>
        <v>3700</v>
      </c>
      <c r="F2" s="13">
        <f t="shared" ref="F2:F25" si="1">E2-D2</f>
        <v>200</v>
      </c>
      <c r="G2" s="13">
        <f t="shared" ref="G2:G25" si="2">$C2</f>
        <v>3500</v>
      </c>
      <c r="H2" s="13">
        <f>SUMIFS(Transactions!$E:$E,Transactions!$C:$C,$B2,Transactions!$B:$B,"Income",Transactions!$I:$I,2)</f>
        <v>0</v>
      </c>
      <c r="I2" s="13">
        <f t="shared" ref="I2:I25" si="3">H2-G2</f>
        <v>-3500</v>
      </c>
      <c r="J2" s="13">
        <f t="shared" ref="J2:J25" si="4">$C2</f>
        <v>3500</v>
      </c>
      <c r="K2" s="13">
        <f>SUMIFS(Transactions!$E:$E,Transactions!$C:$C,$B2,Transactions!$B:$B,"Income",Transactions!$I:$I,3)</f>
        <v>0</v>
      </c>
      <c r="L2" s="13">
        <f t="shared" ref="L2:L25" si="5">K2-J2</f>
        <v>-3500</v>
      </c>
      <c r="M2" s="13">
        <f t="shared" ref="M2:M25" si="6">$C2</f>
        <v>3500</v>
      </c>
      <c r="N2" s="13">
        <f>SUMIFS(Transactions!$E:$E,Transactions!$C:$C,$B2,Transactions!$B:$B,"Income",Transactions!$I:$I,4)</f>
        <v>0</v>
      </c>
      <c r="O2" s="13">
        <f t="shared" ref="O2:O25" si="7">N2-M2</f>
        <v>-3500</v>
      </c>
      <c r="P2" s="13">
        <f t="shared" ref="P2:P25" si="8">$C2</f>
        <v>3500</v>
      </c>
      <c r="Q2" s="13">
        <f>SUMIFS(Transactions!$E:$E,Transactions!$C:$C,$B2,Transactions!$B:$B,"Income",Transactions!$I:$I,5)</f>
        <v>0</v>
      </c>
      <c r="R2" s="13">
        <f t="shared" ref="R2:R25" si="9">Q2-P2</f>
        <v>-3500</v>
      </c>
      <c r="S2" s="13">
        <f t="shared" ref="S2:S25" si="10">$C2</f>
        <v>3500</v>
      </c>
      <c r="T2" s="13">
        <f>SUMIFS(Transactions!$E:$E,Transactions!$C:$C,$B2,Transactions!$B:$B,"Income",Transactions!$I:$I,6)</f>
        <v>0</v>
      </c>
      <c r="U2" s="13">
        <f t="shared" ref="U2:U25" si="11">T2-S2</f>
        <v>-3500</v>
      </c>
      <c r="V2" s="13">
        <f t="shared" ref="V2:V25" si="12">$C2</f>
        <v>3500</v>
      </c>
      <c r="W2" s="13">
        <f>SUMIFS(Transactions!$E:$E,Transactions!$C:$C,$B2,Transactions!$B:$B,"Income",Transactions!$I:$I,7)</f>
        <v>0</v>
      </c>
      <c r="X2" s="13">
        <f t="shared" ref="X2:X25" si="13">W2-V2</f>
        <v>-3500</v>
      </c>
      <c r="Y2" s="13">
        <f t="shared" ref="Y2:Y25" si="14">$C2</f>
        <v>3500</v>
      </c>
      <c r="Z2" s="13">
        <f>SUMIFS(Transactions!$E:$E,Transactions!$C:$C,$B2,Transactions!$B:$B,"Income",Transactions!$I:$I,8)</f>
        <v>0</v>
      </c>
      <c r="AA2" s="13">
        <f t="shared" ref="AA2:AA25" si="15">Z2-Y2</f>
        <v>-3500</v>
      </c>
      <c r="AB2" s="13">
        <f t="shared" ref="AB2:AB25" si="16">$C2</f>
        <v>3500</v>
      </c>
      <c r="AC2" s="13">
        <f>SUMIFS(Transactions!$E:$E,Transactions!$C:$C,$B2,Transactions!$B:$B,"Income",Transactions!$I:$I,9)</f>
        <v>0</v>
      </c>
      <c r="AD2" s="13">
        <f t="shared" ref="AD2:AD25" si="17">AC2-AB2</f>
        <v>-3500</v>
      </c>
      <c r="AE2" s="13">
        <f t="shared" ref="AE2:AE25" si="18">$C2</f>
        <v>3500</v>
      </c>
      <c r="AF2" s="13">
        <f>SUMIFS(Transactions!$E:$E,Transactions!$C:$C,$B2,Transactions!$B:$B,"Income",Transactions!$I:$I,10)</f>
        <v>0</v>
      </c>
      <c r="AG2" s="13">
        <f t="shared" ref="AG2:AG25" si="19">AF2-AE2</f>
        <v>-3500</v>
      </c>
      <c r="AH2" s="13">
        <f t="shared" ref="AH2:AH25" si="20">$C2</f>
        <v>3500</v>
      </c>
      <c r="AI2" s="13">
        <f>SUMIFS(Transactions!$E:$E,Transactions!$C:$C,$B2,Transactions!$B:$B,"Income",Transactions!$I:$I,11)</f>
        <v>0</v>
      </c>
      <c r="AJ2" s="13">
        <f t="shared" ref="AJ2:AJ25" si="21">AI2-AH2</f>
        <v>-3500</v>
      </c>
      <c r="AK2" s="13">
        <f t="shared" ref="AK2:AK25" si="22">$C2</f>
        <v>3500</v>
      </c>
      <c r="AL2" s="13">
        <f>SUMIFS(Transactions!$E:$E,Transactions!$C:$C,$B2,Transactions!$B:$B,"Income",Transactions!$I:$I,12)</f>
        <v>0</v>
      </c>
      <c r="AM2" s="13">
        <f t="shared" ref="AM2:AM25" si="23">AL2-AK2</f>
        <v>-3500</v>
      </c>
    </row>
    <row r="3" spans="1:39" x14ac:dyDescent="0.3">
      <c r="A3" s="15" t="s">
        <v>13</v>
      </c>
      <c r="B3" s="16" t="s">
        <v>15</v>
      </c>
      <c r="C3" s="13">
        <v>800</v>
      </c>
      <c r="D3" s="13">
        <f t="shared" si="0"/>
        <v>800</v>
      </c>
      <c r="E3" s="13">
        <f>SUMIFS(Transactions!$E:$E,Transactions!$C:$C,$B3,Transactions!$B:$B,"Income",Transactions!$I:$I,1)</f>
        <v>0</v>
      </c>
      <c r="F3" s="13">
        <f t="shared" si="1"/>
        <v>-800</v>
      </c>
      <c r="G3" s="13">
        <f t="shared" si="2"/>
        <v>800</v>
      </c>
      <c r="H3" s="13">
        <f>SUMIFS(Transactions!$E:$E,Transactions!$C:$C,$B3,Transactions!$B:$B,"Income",Transactions!$I:$I,2)</f>
        <v>0</v>
      </c>
      <c r="I3" s="13">
        <f t="shared" si="3"/>
        <v>-800</v>
      </c>
      <c r="J3" s="13">
        <f t="shared" si="4"/>
        <v>800</v>
      </c>
      <c r="K3" s="13">
        <f>SUMIFS(Transactions!$E:$E,Transactions!$C:$C,$B3,Transactions!$B:$B,"Income",Transactions!$I:$I,3)</f>
        <v>0</v>
      </c>
      <c r="L3" s="13">
        <f t="shared" si="5"/>
        <v>-800</v>
      </c>
      <c r="M3" s="13">
        <f t="shared" si="6"/>
        <v>800</v>
      </c>
      <c r="N3" s="13">
        <f>SUMIFS(Transactions!$E:$E,Transactions!$C:$C,$B3,Transactions!$B:$B,"Income",Transactions!$I:$I,4)</f>
        <v>0</v>
      </c>
      <c r="O3" s="13">
        <f t="shared" si="7"/>
        <v>-800</v>
      </c>
      <c r="P3" s="13">
        <f t="shared" si="8"/>
        <v>800</v>
      </c>
      <c r="Q3" s="13">
        <f>SUMIFS(Transactions!$E:$E,Transactions!$C:$C,$B3,Transactions!$B:$B,"Income",Transactions!$I:$I,5)</f>
        <v>0</v>
      </c>
      <c r="R3" s="13">
        <f t="shared" si="9"/>
        <v>-800</v>
      </c>
      <c r="S3" s="13">
        <f t="shared" si="10"/>
        <v>800</v>
      </c>
      <c r="T3" s="13">
        <f>SUMIFS(Transactions!$E:$E,Transactions!$C:$C,$B3,Transactions!$B:$B,"Income",Transactions!$I:$I,6)</f>
        <v>0</v>
      </c>
      <c r="U3" s="13">
        <f t="shared" si="11"/>
        <v>-800</v>
      </c>
      <c r="V3" s="13">
        <f t="shared" si="12"/>
        <v>800</v>
      </c>
      <c r="W3" s="13">
        <f>SUMIFS(Transactions!$E:$E,Transactions!$C:$C,$B3,Transactions!$B:$B,"Income",Transactions!$I:$I,7)</f>
        <v>0</v>
      </c>
      <c r="X3" s="13">
        <f t="shared" si="13"/>
        <v>-800</v>
      </c>
      <c r="Y3" s="13">
        <f t="shared" si="14"/>
        <v>800</v>
      </c>
      <c r="Z3" s="13">
        <f>SUMIFS(Transactions!$E:$E,Transactions!$C:$C,$B3,Transactions!$B:$B,"Income",Transactions!$I:$I,8)</f>
        <v>0</v>
      </c>
      <c r="AA3" s="13">
        <f t="shared" si="15"/>
        <v>-800</v>
      </c>
      <c r="AB3" s="13">
        <f t="shared" si="16"/>
        <v>800</v>
      </c>
      <c r="AC3" s="13">
        <f>SUMIFS(Transactions!$E:$E,Transactions!$C:$C,$B3,Transactions!$B:$B,"Income",Transactions!$I:$I,9)</f>
        <v>0</v>
      </c>
      <c r="AD3" s="13">
        <f t="shared" si="17"/>
        <v>-800</v>
      </c>
      <c r="AE3" s="13">
        <f t="shared" si="18"/>
        <v>800</v>
      </c>
      <c r="AF3" s="13">
        <f>SUMIFS(Transactions!$E:$E,Transactions!$C:$C,$B3,Transactions!$B:$B,"Income",Transactions!$I:$I,10)</f>
        <v>0</v>
      </c>
      <c r="AG3" s="13">
        <f t="shared" si="19"/>
        <v>-800</v>
      </c>
      <c r="AH3" s="13">
        <f t="shared" si="20"/>
        <v>800</v>
      </c>
      <c r="AI3" s="13">
        <f>SUMIFS(Transactions!$E:$E,Transactions!$C:$C,$B3,Transactions!$B:$B,"Income",Transactions!$I:$I,11)</f>
        <v>0</v>
      </c>
      <c r="AJ3" s="13">
        <f t="shared" si="21"/>
        <v>-800</v>
      </c>
      <c r="AK3" s="13">
        <f t="shared" si="22"/>
        <v>800</v>
      </c>
      <c r="AL3" s="13">
        <f>SUMIFS(Transactions!$E:$E,Transactions!$C:$C,$B3,Transactions!$B:$B,"Income",Transactions!$I:$I,12)</f>
        <v>0</v>
      </c>
      <c r="AM3" s="13">
        <f t="shared" si="23"/>
        <v>-800</v>
      </c>
    </row>
    <row r="4" spans="1:39" x14ac:dyDescent="0.3">
      <c r="A4" s="15" t="s">
        <v>13</v>
      </c>
      <c r="B4" s="16" t="s">
        <v>16</v>
      </c>
      <c r="C4" s="13">
        <v>400</v>
      </c>
      <c r="D4" s="13">
        <f t="shared" si="0"/>
        <v>400</v>
      </c>
      <c r="E4" s="13">
        <f>SUMIFS(Transactions!$E:$E,Transactions!$C:$C,$B4,Transactions!$B:$B,"Income",Transactions!$I:$I,1)</f>
        <v>111.48</v>
      </c>
      <c r="F4" s="13">
        <f t="shared" si="1"/>
        <v>-288.52</v>
      </c>
      <c r="G4" s="13">
        <f t="shared" si="2"/>
        <v>400</v>
      </c>
      <c r="H4" s="13">
        <f>SUMIFS(Transactions!$E:$E,Transactions!$C:$C,$B4,Transactions!$B:$B,"Income",Transactions!$I:$I,2)</f>
        <v>0</v>
      </c>
      <c r="I4" s="13">
        <f t="shared" si="3"/>
        <v>-400</v>
      </c>
      <c r="J4" s="13">
        <f t="shared" si="4"/>
        <v>400</v>
      </c>
      <c r="K4" s="13">
        <f>SUMIFS(Transactions!$E:$E,Transactions!$C:$C,$B4,Transactions!$B:$B,"Income",Transactions!$I:$I,3)</f>
        <v>0</v>
      </c>
      <c r="L4" s="13">
        <f t="shared" si="5"/>
        <v>-400</v>
      </c>
      <c r="M4" s="13">
        <f t="shared" si="6"/>
        <v>400</v>
      </c>
      <c r="N4" s="13">
        <f>SUMIFS(Transactions!$E:$E,Transactions!$C:$C,$B4,Transactions!$B:$B,"Income",Transactions!$I:$I,4)</f>
        <v>0</v>
      </c>
      <c r="O4" s="13">
        <f t="shared" si="7"/>
        <v>-400</v>
      </c>
      <c r="P4" s="13">
        <f t="shared" si="8"/>
        <v>400</v>
      </c>
      <c r="Q4" s="13">
        <f>SUMIFS(Transactions!$E:$E,Transactions!$C:$C,$B4,Transactions!$B:$B,"Income",Transactions!$I:$I,5)</f>
        <v>0</v>
      </c>
      <c r="R4" s="13">
        <f t="shared" si="9"/>
        <v>-400</v>
      </c>
      <c r="S4" s="13">
        <f t="shared" si="10"/>
        <v>400</v>
      </c>
      <c r="T4" s="13">
        <f>SUMIFS(Transactions!$E:$E,Transactions!$C:$C,$B4,Transactions!$B:$B,"Income",Transactions!$I:$I,6)</f>
        <v>0</v>
      </c>
      <c r="U4" s="13">
        <f t="shared" si="11"/>
        <v>-400</v>
      </c>
      <c r="V4" s="13">
        <f t="shared" si="12"/>
        <v>400</v>
      </c>
      <c r="W4" s="13">
        <f>SUMIFS(Transactions!$E:$E,Transactions!$C:$C,$B4,Transactions!$B:$B,"Income",Transactions!$I:$I,7)</f>
        <v>0</v>
      </c>
      <c r="X4" s="13">
        <f t="shared" si="13"/>
        <v>-400</v>
      </c>
      <c r="Y4" s="13">
        <f t="shared" si="14"/>
        <v>400</v>
      </c>
      <c r="Z4" s="13">
        <f>SUMIFS(Transactions!$E:$E,Transactions!$C:$C,$B4,Transactions!$B:$B,"Income",Transactions!$I:$I,8)</f>
        <v>0</v>
      </c>
      <c r="AA4" s="13">
        <f t="shared" si="15"/>
        <v>-400</v>
      </c>
      <c r="AB4" s="13">
        <f t="shared" si="16"/>
        <v>400</v>
      </c>
      <c r="AC4" s="13">
        <f>SUMIFS(Transactions!$E:$E,Transactions!$C:$C,$B4,Transactions!$B:$B,"Income",Transactions!$I:$I,9)</f>
        <v>0</v>
      </c>
      <c r="AD4" s="13">
        <f t="shared" si="17"/>
        <v>-400</v>
      </c>
      <c r="AE4" s="13">
        <f t="shared" si="18"/>
        <v>400</v>
      </c>
      <c r="AF4" s="13">
        <f>SUMIFS(Transactions!$E:$E,Transactions!$C:$C,$B4,Transactions!$B:$B,"Income",Transactions!$I:$I,10)</f>
        <v>0</v>
      </c>
      <c r="AG4" s="13">
        <f t="shared" si="19"/>
        <v>-400</v>
      </c>
      <c r="AH4" s="13">
        <f t="shared" si="20"/>
        <v>400</v>
      </c>
      <c r="AI4" s="13">
        <f>SUMIFS(Transactions!$E:$E,Transactions!$C:$C,$B4,Transactions!$B:$B,"Income",Transactions!$I:$I,11)</f>
        <v>0</v>
      </c>
      <c r="AJ4" s="13">
        <f t="shared" si="21"/>
        <v>-400</v>
      </c>
      <c r="AK4" s="13">
        <f t="shared" si="22"/>
        <v>400</v>
      </c>
      <c r="AL4" s="13">
        <f>SUMIFS(Transactions!$E:$E,Transactions!$C:$C,$B4,Transactions!$B:$B,"Income",Transactions!$I:$I,12)</f>
        <v>0</v>
      </c>
      <c r="AM4" s="13">
        <f t="shared" si="23"/>
        <v>-400</v>
      </c>
    </row>
    <row r="5" spans="1:39" x14ac:dyDescent="0.3">
      <c r="A5" s="15" t="s">
        <v>17</v>
      </c>
      <c r="B5" s="16" t="s">
        <v>18</v>
      </c>
      <c r="C5" s="13">
        <v>410</v>
      </c>
      <c r="D5" s="13">
        <f t="shared" si="0"/>
        <v>410</v>
      </c>
      <c r="E5" s="13">
        <f>SUMIFS(Transactions!$E:$E,Transactions!$C:$C,$B5,Transactions!$B:$B,"Expense",Transactions!$I:$I,1)</f>
        <v>383</v>
      </c>
      <c r="F5" s="13">
        <f t="shared" si="1"/>
        <v>-27</v>
      </c>
      <c r="G5" s="13">
        <f t="shared" si="2"/>
        <v>410</v>
      </c>
      <c r="H5" s="13">
        <f>SUMIFS(Transactions!$E:$E,Transactions!$C:$C,$B5,Transactions!$B:$B,"Expense",Transactions!$I:$I,2)</f>
        <v>0</v>
      </c>
      <c r="I5" s="13">
        <f t="shared" si="3"/>
        <v>-410</v>
      </c>
      <c r="J5" s="13">
        <f t="shared" si="4"/>
        <v>410</v>
      </c>
      <c r="K5" s="13">
        <f>SUMIFS(Transactions!$E:$E,Transactions!$C:$C,$B5,Transactions!$B:$B,"Expense",Transactions!$I:$I,3)</f>
        <v>0</v>
      </c>
      <c r="L5" s="13">
        <f t="shared" si="5"/>
        <v>-410</v>
      </c>
      <c r="M5" s="13">
        <f t="shared" si="6"/>
        <v>410</v>
      </c>
      <c r="N5" s="13">
        <f>SUMIFS(Transactions!$E:$E,Transactions!$C:$C,$B5,Transactions!$B:$B,"Expense",Transactions!$I:$I,4)</f>
        <v>0</v>
      </c>
      <c r="O5" s="13">
        <f t="shared" si="7"/>
        <v>-410</v>
      </c>
      <c r="P5" s="13">
        <f t="shared" si="8"/>
        <v>410</v>
      </c>
      <c r="Q5" s="13">
        <f>SUMIFS(Transactions!$E:$E,Transactions!$C:$C,$B5,Transactions!$B:$B,"Expense",Transactions!$I:$I,5)</f>
        <v>0</v>
      </c>
      <c r="R5" s="13">
        <f t="shared" si="9"/>
        <v>-410</v>
      </c>
      <c r="S5" s="13">
        <f t="shared" si="10"/>
        <v>410</v>
      </c>
      <c r="T5" s="13">
        <f>SUMIFS(Transactions!$E:$E,Transactions!$C:$C,$B5,Transactions!$B:$B,"Expense",Transactions!$I:$I,6)</f>
        <v>0</v>
      </c>
      <c r="U5" s="13">
        <f t="shared" si="11"/>
        <v>-410</v>
      </c>
      <c r="V5" s="13">
        <f t="shared" si="12"/>
        <v>410</v>
      </c>
      <c r="W5" s="13">
        <f>SUMIFS(Transactions!$E:$E,Transactions!$C:$C,$B5,Transactions!$B:$B,"Expense",Transactions!$I:$I,7)</f>
        <v>0</v>
      </c>
      <c r="X5" s="13">
        <f t="shared" si="13"/>
        <v>-410</v>
      </c>
      <c r="Y5" s="13">
        <f t="shared" si="14"/>
        <v>410</v>
      </c>
      <c r="Z5" s="13">
        <f>SUMIFS(Transactions!$E:$E,Transactions!$C:$C,$B5,Transactions!$B:$B,"Expense",Transactions!$I:$I,8)</f>
        <v>0</v>
      </c>
      <c r="AA5" s="13">
        <f t="shared" si="15"/>
        <v>-410</v>
      </c>
      <c r="AB5" s="13">
        <f t="shared" si="16"/>
        <v>410</v>
      </c>
      <c r="AC5" s="13">
        <f>SUMIFS(Transactions!$E:$E,Transactions!$C:$C,$B5,Transactions!$B:$B,"Expense",Transactions!$I:$I,9)</f>
        <v>0</v>
      </c>
      <c r="AD5" s="13">
        <f t="shared" si="17"/>
        <v>-410</v>
      </c>
      <c r="AE5" s="13">
        <f t="shared" si="18"/>
        <v>410</v>
      </c>
      <c r="AF5" s="13">
        <f>SUMIFS(Transactions!$E:$E,Transactions!$C:$C,$B5,Transactions!$B:$B,"Expense",Transactions!$I:$I,10)</f>
        <v>0</v>
      </c>
      <c r="AG5" s="13">
        <f t="shared" si="19"/>
        <v>-410</v>
      </c>
      <c r="AH5" s="13">
        <f t="shared" si="20"/>
        <v>410</v>
      </c>
      <c r="AI5" s="13">
        <f>SUMIFS(Transactions!$E:$E,Transactions!$C:$C,$B5,Transactions!$B:$B,"Expense",Transactions!$I:$I,11)</f>
        <v>0</v>
      </c>
      <c r="AJ5" s="13">
        <f t="shared" si="21"/>
        <v>-410</v>
      </c>
      <c r="AK5" s="13">
        <f t="shared" si="22"/>
        <v>410</v>
      </c>
      <c r="AL5" s="13">
        <f>SUMIFS(Transactions!$E:$E,Transactions!$C:$C,$B5,Transactions!$B:$B,"Expense",Transactions!$I:$I,12)</f>
        <v>0</v>
      </c>
      <c r="AM5" s="13">
        <f t="shared" si="23"/>
        <v>-410</v>
      </c>
    </row>
    <row r="6" spans="1:39" x14ac:dyDescent="0.3">
      <c r="A6" s="15" t="s">
        <v>17</v>
      </c>
      <c r="B6" s="16" t="s">
        <v>19</v>
      </c>
      <c r="C6" s="13">
        <v>165</v>
      </c>
      <c r="D6" s="13">
        <f t="shared" si="0"/>
        <v>165</v>
      </c>
      <c r="E6" s="13">
        <f>SUMIFS(Transactions!$E:$E,Transactions!$C:$C,$B6,Transactions!$B:$B,"Expense",Transactions!$I:$I,1)</f>
        <v>140</v>
      </c>
      <c r="F6" s="13">
        <f t="shared" si="1"/>
        <v>-25</v>
      </c>
      <c r="G6" s="13">
        <f t="shared" si="2"/>
        <v>165</v>
      </c>
      <c r="H6" s="13">
        <f>SUMIFS(Transactions!$E:$E,Transactions!$C:$C,$B6,Transactions!$B:$B,"Expense",Transactions!$I:$I,2)</f>
        <v>0</v>
      </c>
      <c r="I6" s="13">
        <f t="shared" si="3"/>
        <v>-165</v>
      </c>
      <c r="J6" s="13">
        <f t="shared" si="4"/>
        <v>165</v>
      </c>
      <c r="K6" s="13">
        <f>SUMIFS(Transactions!$E:$E,Transactions!$C:$C,$B6,Transactions!$B:$B,"Expense",Transactions!$I:$I,3)</f>
        <v>0</v>
      </c>
      <c r="L6" s="13">
        <f t="shared" si="5"/>
        <v>-165</v>
      </c>
      <c r="M6" s="13">
        <f t="shared" si="6"/>
        <v>165</v>
      </c>
      <c r="N6" s="13">
        <f>SUMIFS(Transactions!$E:$E,Transactions!$C:$C,$B6,Transactions!$B:$B,"Expense",Transactions!$I:$I,4)</f>
        <v>0</v>
      </c>
      <c r="O6" s="13">
        <f t="shared" si="7"/>
        <v>-165</v>
      </c>
      <c r="P6" s="13">
        <f t="shared" si="8"/>
        <v>165</v>
      </c>
      <c r="Q6" s="13">
        <f>SUMIFS(Transactions!$E:$E,Transactions!$C:$C,$B6,Transactions!$B:$B,"Expense",Transactions!$I:$I,5)</f>
        <v>0</v>
      </c>
      <c r="R6" s="13">
        <f t="shared" si="9"/>
        <v>-165</v>
      </c>
      <c r="S6" s="13">
        <f t="shared" si="10"/>
        <v>165</v>
      </c>
      <c r="T6" s="13">
        <f>SUMIFS(Transactions!$E:$E,Transactions!$C:$C,$B6,Transactions!$B:$B,"Expense",Transactions!$I:$I,6)</f>
        <v>0</v>
      </c>
      <c r="U6" s="13">
        <f t="shared" si="11"/>
        <v>-165</v>
      </c>
      <c r="V6" s="13">
        <f t="shared" si="12"/>
        <v>165</v>
      </c>
      <c r="W6" s="13">
        <f>SUMIFS(Transactions!$E:$E,Transactions!$C:$C,$B6,Transactions!$B:$B,"Expense",Transactions!$I:$I,7)</f>
        <v>0</v>
      </c>
      <c r="X6" s="13">
        <f t="shared" si="13"/>
        <v>-165</v>
      </c>
      <c r="Y6" s="13">
        <f t="shared" si="14"/>
        <v>165</v>
      </c>
      <c r="Z6" s="13">
        <f>SUMIFS(Transactions!$E:$E,Transactions!$C:$C,$B6,Transactions!$B:$B,"Expense",Transactions!$I:$I,8)</f>
        <v>0</v>
      </c>
      <c r="AA6" s="13">
        <f t="shared" si="15"/>
        <v>-165</v>
      </c>
      <c r="AB6" s="13">
        <f t="shared" si="16"/>
        <v>165</v>
      </c>
      <c r="AC6" s="13">
        <f>SUMIFS(Transactions!$E:$E,Transactions!$C:$C,$B6,Transactions!$B:$B,"Expense",Transactions!$I:$I,9)</f>
        <v>0</v>
      </c>
      <c r="AD6" s="13">
        <f t="shared" si="17"/>
        <v>-165</v>
      </c>
      <c r="AE6" s="13">
        <f t="shared" si="18"/>
        <v>165</v>
      </c>
      <c r="AF6" s="13">
        <f>SUMIFS(Transactions!$E:$E,Transactions!$C:$C,$B6,Transactions!$B:$B,"Expense",Transactions!$I:$I,10)</f>
        <v>0</v>
      </c>
      <c r="AG6" s="13">
        <f t="shared" si="19"/>
        <v>-165</v>
      </c>
      <c r="AH6" s="13">
        <f t="shared" si="20"/>
        <v>165</v>
      </c>
      <c r="AI6" s="13">
        <f>SUMIFS(Transactions!$E:$E,Transactions!$C:$C,$B6,Transactions!$B:$B,"Expense",Transactions!$I:$I,11)</f>
        <v>0</v>
      </c>
      <c r="AJ6" s="13">
        <f t="shared" si="21"/>
        <v>-165</v>
      </c>
      <c r="AK6" s="13">
        <f t="shared" si="22"/>
        <v>165</v>
      </c>
      <c r="AL6" s="13">
        <f>SUMIFS(Transactions!$E:$E,Transactions!$C:$C,$B6,Transactions!$B:$B,"Expense",Transactions!$I:$I,12)</f>
        <v>0</v>
      </c>
      <c r="AM6" s="13">
        <f t="shared" si="23"/>
        <v>-165</v>
      </c>
    </row>
    <row r="7" spans="1:39" x14ac:dyDescent="0.3">
      <c r="A7" s="15" t="s">
        <v>17</v>
      </c>
      <c r="B7" s="16" t="s">
        <v>20</v>
      </c>
      <c r="C7" s="13">
        <v>50</v>
      </c>
      <c r="D7" s="13">
        <f t="shared" si="0"/>
        <v>50</v>
      </c>
      <c r="E7" s="13">
        <f>SUMIFS(Transactions!$E:$E,Transactions!$C:$C,$B7,Transactions!$B:$B,"Expense",Transactions!$I:$I,1)</f>
        <v>50</v>
      </c>
      <c r="F7" s="13">
        <f t="shared" si="1"/>
        <v>0</v>
      </c>
      <c r="G7" s="13">
        <f t="shared" si="2"/>
        <v>50</v>
      </c>
      <c r="H7" s="13">
        <f>SUMIFS(Transactions!$E:$E,Transactions!$C:$C,$B7,Transactions!$B:$B,"Expense",Transactions!$I:$I,2)</f>
        <v>0</v>
      </c>
      <c r="I7" s="13">
        <f t="shared" si="3"/>
        <v>-50</v>
      </c>
      <c r="J7" s="13">
        <f t="shared" si="4"/>
        <v>50</v>
      </c>
      <c r="K7" s="13">
        <f>SUMIFS(Transactions!$E:$E,Transactions!$C:$C,$B7,Transactions!$B:$B,"Expense",Transactions!$I:$I,3)</f>
        <v>0</v>
      </c>
      <c r="L7" s="13">
        <f t="shared" si="5"/>
        <v>-50</v>
      </c>
      <c r="M7" s="13">
        <f t="shared" si="6"/>
        <v>50</v>
      </c>
      <c r="N7" s="13">
        <f>SUMIFS(Transactions!$E:$E,Transactions!$C:$C,$B7,Transactions!$B:$B,"Expense",Transactions!$I:$I,4)</f>
        <v>0</v>
      </c>
      <c r="O7" s="13">
        <f t="shared" si="7"/>
        <v>-50</v>
      </c>
      <c r="P7" s="13">
        <f t="shared" si="8"/>
        <v>50</v>
      </c>
      <c r="Q7" s="13">
        <f>SUMIFS(Transactions!$E:$E,Transactions!$C:$C,$B7,Transactions!$B:$B,"Expense",Transactions!$I:$I,5)</f>
        <v>0</v>
      </c>
      <c r="R7" s="13">
        <f t="shared" si="9"/>
        <v>-50</v>
      </c>
      <c r="S7" s="13">
        <f t="shared" si="10"/>
        <v>50</v>
      </c>
      <c r="T7" s="13">
        <f>SUMIFS(Transactions!$E:$E,Transactions!$C:$C,$B7,Transactions!$B:$B,"Expense",Transactions!$I:$I,6)</f>
        <v>0</v>
      </c>
      <c r="U7" s="13">
        <f t="shared" si="11"/>
        <v>-50</v>
      </c>
      <c r="V7" s="13">
        <f t="shared" si="12"/>
        <v>50</v>
      </c>
      <c r="W7" s="13">
        <f>SUMIFS(Transactions!$E:$E,Transactions!$C:$C,$B7,Transactions!$B:$B,"Expense",Transactions!$I:$I,7)</f>
        <v>0</v>
      </c>
      <c r="X7" s="13">
        <f t="shared" si="13"/>
        <v>-50</v>
      </c>
      <c r="Y7" s="13">
        <f t="shared" si="14"/>
        <v>50</v>
      </c>
      <c r="Z7" s="13">
        <f>SUMIFS(Transactions!$E:$E,Transactions!$C:$C,$B7,Transactions!$B:$B,"Expense",Transactions!$I:$I,8)</f>
        <v>0</v>
      </c>
      <c r="AA7" s="13">
        <f t="shared" si="15"/>
        <v>-50</v>
      </c>
      <c r="AB7" s="13">
        <f t="shared" si="16"/>
        <v>50</v>
      </c>
      <c r="AC7" s="13">
        <f>SUMIFS(Transactions!$E:$E,Transactions!$C:$C,$B7,Transactions!$B:$B,"Expense",Transactions!$I:$I,9)</f>
        <v>0</v>
      </c>
      <c r="AD7" s="13">
        <f t="shared" si="17"/>
        <v>-50</v>
      </c>
      <c r="AE7" s="13">
        <f t="shared" si="18"/>
        <v>50</v>
      </c>
      <c r="AF7" s="13">
        <f>SUMIFS(Transactions!$E:$E,Transactions!$C:$C,$B7,Transactions!$B:$B,"Expense",Transactions!$I:$I,10)</f>
        <v>0</v>
      </c>
      <c r="AG7" s="13">
        <f t="shared" si="19"/>
        <v>-50</v>
      </c>
      <c r="AH7" s="13">
        <f t="shared" si="20"/>
        <v>50</v>
      </c>
      <c r="AI7" s="13">
        <f>SUMIFS(Transactions!$E:$E,Transactions!$C:$C,$B7,Transactions!$B:$B,"Expense",Transactions!$I:$I,11)</f>
        <v>0</v>
      </c>
      <c r="AJ7" s="13">
        <f t="shared" si="21"/>
        <v>-50</v>
      </c>
      <c r="AK7" s="13">
        <f t="shared" si="22"/>
        <v>50</v>
      </c>
      <c r="AL7" s="13">
        <f>SUMIFS(Transactions!$E:$E,Transactions!$C:$C,$B7,Transactions!$B:$B,"Expense",Transactions!$I:$I,12)</f>
        <v>0</v>
      </c>
      <c r="AM7" s="13">
        <f t="shared" si="23"/>
        <v>-50</v>
      </c>
    </row>
    <row r="8" spans="1:39" x14ac:dyDescent="0.3">
      <c r="A8" s="15" t="s">
        <v>17</v>
      </c>
      <c r="B8" s="16" t="s">
        <v>21</v>
      </c>
      <c r="C8" s="13">
        <v>100</v>
      </c>
      <c r="D8" s="13">
        <f t="shared" si="0"/>
        <v>100</v>
      </c>
      <c r="E8" s="13">
        <f>SUMIFS(Transactions!$E:$E,Transactions!$C:$C,$B8,Transactions!$B:$B,"Expense",Transactions!$I:$I,1)</f>
        <v>100</v>
      </c>
      <c r="F8" s="13">
        <f t="shared" si="1"/>
        <v>0</v>
      </c>
      <c r="G8" s="13">
        <f t="shared" si="2"/>
        <v>100</v>
      </c>
      <c r="H8" s="13">
        <f>SUMIFS(Transactions!$E:$E,Transactions!$C:$C,$B8,Transactions!$B:$B,"Expense",Transactions!$I:$I,2)</f>
        <v>0</v>
      </c>
      <c r="I8" s="13">
        <f t="shared" si="3"/>
        <v>-100</v>
      </c>
      <c r="J8" s="13">
        <f t="shared" si="4"/>
        <v>100</v>
      </c>
      <c r="K8" s="13">
        <f>SUMIFS(Transactions!$E:$E,Transactions!$C:$C,$B8,Transactions!$B:$B,"Expense",Transactions!$I:$I,3)</f>
        <v>0</v>
      </c>
      <c r="L8" s="13">
        <f t="shared" si="5"/>
        <v>-100</v>
      </c>
      <c r="M8" s="13">
        <f t="shared" si="6"/>
        <v>100</v>
      </c>
      <c r="N8" s="13">
        <f>SUMIFS(Transactions!$E:$E,Transactions!$C:$C,$B8,Transactions!$B:$B,"Expense",Transactions!$I:$I,4)</f>
        <v>0</v>
      </c>
      <c r="O8" s="13">
        <f t="shared" si="7"/>
        <v>-100</v>
      </c>
      <c r="P8" s="13">
        <f t="shared" si="8"/>
        <v>100</v>
      </c>
      <c r="Q8" s="13">
        <f>SUMIFS(Transactions!$E:$E,Transactions!$C:$C,$B8,Transactions!$B:$B,"Expense",Transactions!$I:$I,5)</f>
        <v>0</v>
      </c>
      <c r="R8" s="13">
        <f t="shared" si="9"/>
        <v>-100</v>
      </c>
      <c r="S8" s="13">
        <f t="shared" si="10"/>
        <v>100</v>
      </c>
      <c r="T8" s="13">
        <f>SUMIFS(Transactions!$E:$E,Transactions!$C:$C,$B8,Transactions!$B:$B,"Expense",Transactions!$I:$I,6)</f>
        <v>0</v>
      </c>
      <c r="U8" s="13">
        <f t="shared" si="11"/>
        <v>-100</v>
      </c>
      <c r="V8" s="13">
        <f t="shared" si="12"/>
        <v>100</v>
      </c>
      <c r="W8" s="13">
        <f>SUMIFS(Transactions!$E:$E,Transactions!$C:$C,$B8,Transactions!$B:$B,"Expense",Transactions!$I:$I,7)</f>
        <v>0</v>
      </c>
      <c r="X8" s="13">
        <f t="shared" si="13"/>
        <v>-100</v>
      </c>
      <c r="Y8" s="13">
        <f t="shared" si="14"/>
        <v>100</v>
      </c>
      <c r="Z8" s="13">
        <f>SUMIFS(Transactions!$E:$E,Transactions!$C:$C,$B8,Transactions!$B:$B,"Expense",Transactions!$I:$I,8)</f>
        <v>0</v>
      </c>
      <c r="AA8" s="13">
        <f t="shared" si="15"/>
        <v>-100</v>
      </c>
      <c r="AB8" s="13">
        <f t="shared" si="16"/>
        <v>100</v>
      </c>
      <c r="AC8" s="13">
        <f>SUMIFS(Transactions!$E:$E,Transactions!$C:$C,$B8,Transactions!$B:$B,"Expense",Transactions!$I:$I,9)</f>
        <v>0</v>
      </c>
      <c r="AD8" s="13">
        <f t="shared" si="17"/>
        <v>-100</v>
      </c>
      <c r="AE8" s="13">
        <f t="shared" si="18"/>
        <v>100</v>
      </c>
      <c r="AF8" s="13">
        <f>SUMIFS(Transactions!$E:$E,Transactions!$C:$C,$B8,Transactions!$B:$B,"Expense",Transactions!$I:$I,10)</f>
        <v>0</v>
      </c>
      <c r="AG8" s="13">
        <f t="shared" si="19"/>
        <v>-100</v>
      </c>
      <c r="AH8" s="13">
        <f t="shared" si="20"/>
        <v>100</v>
      </c>
      <c r="AI8" s="13">
        <f>SUMIFS(Transactions!$E:$E,Transactions!$C:$C,$B8,Transactions!$B:$B,"Expense",Transactions!$I:$I,11)</f>
        <v>0</v>
      </c>
      <c r="AJ8" s="13">
        <f t="shared" si="21"/>
        <v>-100</v>
      </c>
      <c r="AK8" s="13">
        <f t="shared" si="22"/>
        <v>100</v>
      </c>
      <c r="AL8" s="13">
        <f>SUMIFS(Transactions!$E:$E,Transactions!$C:$C,$B8,Transactions!$B:$B,"Expense",Transactions!$I:$I,12)</f>
        <v>0</v>
      </c>
      <c r="AM8" s="13">
        <f t="shared" si="23"/>
        <v>-100</v>
      </c>
    </row>
    <row r="9" spans="1:39" x14ac:dyDescent="0.3">
      <c r="A9" s="15" t="s">
        <v>17</v>
      </c>
      <c r="B9" s="16" t="s">
        <v>22</v>
      </c>
      <c r="C9" s="13">
        <v>90</v>
      </c>
      <c r="D9" s="13">
        <f t="shared" si="0"/>
        <v>90</v>
      </c>
      <c r="E9" s="13">
        <f>SUMIFS(Transactions!$E:$E,Transactions!$C:$C,$B9,Transactions!$B:$B,"Expense",Transactions!$I:$I,1)</f>
        <v>34</v>
      </c>
      <c r="F9" s="13">
        <f t="shared" si="1"/>
        <v>-56</v>
      </c>
      <c r="G9" s="13">
        <f t="shared" si="2"/>
        <v>90</v>
      </c>
      <c r="H9" s="13">
        <f>SUMIFS(Transactions!$E:$E,Transactions!$C:$C,$B9,Transactions!$B:$B,"Expense",Transactions!$I:$I,2)</f>
        <v>0</v>
      </c>
      <c r="I9" s="13">
        <f t="shared" si="3"/>
        <v>-90</v>
      </c>
      <c r="J9" s="13">
        <f t="shared" si="4"/>
        <v>90</v>
      </c>
      <c r="K9" s="13">
        <f>SUMIFS(Transactions!$E:$E,Transactions!$C:$C,$B9,Transactions!$B:$B,"Expense",Transactions!$I:$I,3)</f>
        <v>0</v>
      </c>
      <c r="L9" s="13">
        <f t="shared" si="5"/>
        <v>-90</v>
      </c>
      <c r="M9" s="13">
        <f t="shared" si="6"/>
        <v>90</v>
      </c>
      <c r="N9" s="13">
        <f>SUMIFS(Transactions!$E:$E,Transactions!$C:$C,$B9,Transactions!$B:$B,"Expense",Transactions!$I:$I,4)</f>
        <v>0</v>
      </c>
      <c r="O9" s="13">
        <f t="shared" si="7"/>
        <v>-90</v>
      </c>
      <c r="P9" s="13">
        <f t="shared" si="8"/>
        <v>90</v>
      </c>
      <c r="Q9" s="13">
        <f>SUMIFS(Transactions!$E:$E,Transactions!$C:$C,$B9,Transactions!$B:$B,"Expense",Transactions!$I:$I,5)</f>
        <v>0</v>
      </c>
      <c r="R9" s="13">
        <f t="shared" si="9"/>
        <v>-90</v>
      </c>
      <c r="S9" s="13">
        <f t="shared" si="10"/>
        <v>90</v>
      </c>
      <c r="T9" s="13">
        <f>SUMIFS(Transactions!$E:$E,Transactions!$C:$C,$B9,Transactions!$B:$B,"Expense",Transactions!$I:$I,6)</f>
        <v>0</v>
      </c>
      <c r="U9" s="13">
        <f t="shared" si="11"/>
        <v>-90</v>
      </c>
      <c r="V9" s="13">
        <f t="shared" si="12"/>
        <v>90</v>
      </c>
      <c r="W9" s="13">
        <f>SUMIFS(Transactions!$E:$E,Transactions!$C:$C,$B9,Transactions!$B:$B,"Expense",Transactions!$I:$I,7)</f>
        <v>0</v>
      </c>
      <c r="X9" s="13">
        <f t="shared" si="13"/>
        <v>-90</v>
      </c>
      <c r="Y9" s="13">
        <f t="shared" si="14"/>
        <v>90</v>
      </c>
      <c r="Z9" s="13">
        <f>SUMIFS(Transactions!$E:$E,Transactions!$C:$C,$B9,Transactions!$B:$B,"Expense",Transactions!$I:$I,8)</f>
        <v>0</v>
      </c>
      <c r="AA9" s="13">
        <f t="shared" si="15"/>
        <v>-90</v>
      </c>
      <c r="AB9" s="13">
        <f t="shared" si="16"/>
        <v>90</v>
      </c>
      <c r="AC9" s="13">
        <f>SUMIFS(Transactions!$E:$E,Transactions!$C:$C,$B9,Transactions!$B:$B,"Expense",Transactions!$I:$I,9)</f>
        <v>0</v>
      </c>
      <c r="AD9" s="13">
        <f t="shared" si="17"/>
        <v>-90</v>
      </c>
      <c r="AE9" s="13">
        <f t="shared" si="18"/>
        <v>90</v>
      </c>
      <c r="AF9" s="13">
        <f>SUMIFS(Transactions!$E:$E,Transactions!$C:$C,$B9,Transactions!$B:$B,"Expense",Transactions!$I:$I,10)</f>
        <v>0</v>
      </c>
      <c r="AG9" s="13">
        <f t="shared" si="19"/>
        <v>-90</v>
      </c>
      <c r="AH9" s="13">
        <f t="shared" si="20"/>
        <v>90</v>
      </c>
      <c r="AI9" s="13">
        <f>SUMIFS(Transactions!$E:$E,Transactions!$C:$C,$B9,Transactions!$B:$B,"Expense",Transactions!$I:$I,11)</f>
        <v>0</v>
      </c>
      <c r="AJ9" s="13">
        <f t="shared" si="21"/>
        <v>-90</v>
      </c>
      <c r="AK9" s="13">
        <f t="shared" si="22"/>
        <v>90</v>
      </c>
      <c r="AL9" s="13">
        <f>SUMIFS(Transactions!$E:$E,Transactions!$C:$C,$B9,Transactions!$B:$B,"Expense",Transactions!$I:$I,12)</f>
        <v>0</v>
      </c>
      <c r="AM9" s="13">
        <f t="shared" si="23"/>
        <v>-90</v>
      </c>
    </row>
    <row r="10" spans="1:39" x14ac:dyDescent="0.3">
      <c r="A10" s="15" t="s">
        <v>23</v>
      </c>
      <c r="B10" s="16" t="s">
        <v>24</v>
      </c>
      <c r="C10" s="13">
        <v>550</v>
      </c>
      <c r="D10" s="13">
        <f t="shared" si="0"/>
        <v>550</v>
      </c>
      <c r="E10" s="13">
        <f>SUMIFS(Transactions!$E:$E,Transactions!$C:$C,$B10,Transactions!$B:$B,"Expense",Transactions!$I:$I,1)</f>
        <v>0</v>
      </c>
      <c r="F10" s="13">
        <f t="shared" si="1"/>
        <v>-550</v>
      </c>
      <c r="G10" s="13">
        <f t="shared" si="2"/>
        <v>550</v>
      </c>
      <c r="H10" s="13">
        <f>SUMIFS(Transactions!$E:$E,Transactions!$C:$C,$B10,Transactions!$B:$B,"Expense",Transactions!$I:$I,2)</f>
        <v>0</v>
      </c>
      <c r="I10" s="13">
        <f t="shared" si="3"/>
        <v>-550</v>
      </c>
      <c r="J10" s="13">
        <f t="shared" si="4"/>
        <v>550</v>
      </c>
      <c r="K10" s="13">
        <f>SUMIFS(Transactions!$E:$E,Transactions!$C:$C,$B10,Transactions!$B:$B,"Expense",Transactions!$I:$I,3)</f>
        <v>0</v>
      </c>
      <c r="L10" s="13">
        <f t="shared" si="5"/>
        <v>-550</v>
      </c>
      <c r="M10" s="13">
        <f t="shared" si="6"/>
        <v>550</v>
      </c>
      <c r="N10" s="13">
        <f>SUMIFS(Transactions!$E:$E,Transactions!$C:$C,$B10,Transactions!$B:$B,"Expense",Transactions!$I:$I,4)</f>
        <v>0</v>
      </c>
      <c r="O10" s="13">
        <f t="shared" si="7"/>
        <v>-550</v>
      </c>
      <c r="P10" s="13">
        <f t="shared" si="8"/>
        <v>550</v>
      </c>
      <c r="Q10" s="13">
        <f>SUMIFS(Transactions!$E:$E,Transactions!$C:$C,$B10,Transactions!$B:$B,"Expense",Transactions!$I:$I,5)</f>
        <v>0</v>
      </c>
      <c r="R10" s="13">
        <f t="shared" si="9"/>
        <v>-550</v>
      </c>
      <c r="S10" s="13">
        <f t="shared" si="10"/>
        <v>550</v>
      </c>
      <c r="T10" s="13">
        <f>SUMIFS(Transactions!$E:$E,Transactions!$C:$C,$B10,Transactions!$B:$B,"Expense",Transactions!$I:$I,6)</f>
        <v>0</v>
      </c>
      <c r="U10" s="13">
        <f t="shared" si="11"/>
        <v>-550</v>
      </c>
      <c r="V10" s="13">
        <f t="shared" si="12"/>
        <v>550</v>
      </c>
      <c r="W10" s="13">
        <f>SUMIFS(Transactions!$E:$E,Transactions!$C:$C,$B10,Transactions!$B:$B,"Expense",Transactions!$I:$I,7)</f>
        <v>0</v>
      </c>
      <c r="X10" s="13">
        <f t="shared" si="13"/>
        <v>-550</v>
      </c>
      <c r="Y10" s="13">
        <f t="shared" si="14"/>
        <v>550</v>
      </c>
      <c r="Z10" s="13">
        <f>SUMIFS(Transactions!$E:$E,Transactions!$C:$C,$B10,Transactions!$B:$B,"Expense",Transactions!$I:$I,8)</f>
        <v>0</v>
      </c>
      <c r="AA10" s="13">
        <f t="shared" si="15"/>
        <v>-550</v>
      </c>
      <c r="AB10" s="13">
        <f t="shared" si="16"/>
        <v>550</v>
      </c>
      <c r="AC10" s="13">
        <f>SUMIFS(Transactions!$E:$E,Transactions!$C:$C,$B10,Transactions!$B:$B,"Expense",Transactions!$I:$I,9)</f>
        <v>0</v>
      </c>
      <c r="AD10" s="13">
        <f t="shared" si="17"/>
        <v>-550</v>
      </c>
      <c r="AE10" s="13">
        <f t="shared" si="18"/>
        <v>550</v>
      </c>
      <c r="AF10" s="13">
        <f>SUMIFS(Transactions!$E:$E,Transactions!$C:$C,$B10,Transactions!$B:$B,"Expense",Transactions!$I:$I,10)</f>
        <v>0</v>
      </c>
      <c r="AG10" s="13">
        <f t="shared" si="19"/>
        <v>-550</v>
      </c>
      <c r="AH10" s="13">
        <f t="shared" si="20"/>
        <v>550</v>
      </c>
      <c r="AI10" s="13">
        <f>SUMIFS(Transactions!$E:$E,Transactions!$C:$C,$B10,Transactions!$B:$B,"Expense",Transactions!$I:$I,11)</f>
        <v>0</v>
      </c>
      <c r="AJ10" s="13">
        <f t="shared" si="21"/>
        <v>-550</v>
      </c>
      <c r="AK10" s="13">
        <f t="shared" si="22"/>
        <v>550</v>
      </c>
      <c r="AL10" s="13">
        <f>SUMIFS(Transactions!$E:$E,Transactions!$C:$C,$B10,Transactions!$B:$B,"Expense",Transactions!$I:$I,12)</f>
        <v>0</v>
      </c>
      <c r="AM10" s="13">
        <f t="shared" si="23"/>
        <v>-550</v>
      </c>
    </row>
    <row r="11" spans="1:39" x14ac:dyDescent="0.3">
      <c r="A11" s="15" t="s">
        <v>23</v>
      </c>
      <c r="B11" s="16" t="s">
        <v>25</v>
      </c>
      <c r="C11" s="13">
        <v>175</v>
      </c>
      <c r="D11" s="13">
        <f t="shared" si="0"/>
        <v>175</v>
      </c>
      <c r="E11" s="13">
        <f>SUMIFS(Transactions!$E:$E,Transactions!$C:$C,$B11,Transactions!$B:$B,"Expense",Transactions!$I:$I,1)</f>
        <v>0</v>
      </c>
      <c r="F11" s="13">
        <f t="shared" si="1"/>
        <v>-175</v>
      </c>
      <c r="G11" s="13">
        <f t="shared" si="2"/>
        <v>175</v>
      </c>
      <c r="H11" s="13">
        <f>SUMIFS(Transactions!$E:$E,Transactions!$C:$C,$B11,Transactions!$B:$B,"Expense",Transactions!$I:$I,2)</f>
        <v>0</v>
      </c>
      <c r="I11" s="13">
        <f t="shared" si="3"/>
        <v>-175</v>
      </c>
      <c r="J11" s="13">
        <f t="shared" si="4"/>
        <v>175</v>
      </c>
      <c r="K11" s="13">
        <f>SUMIFS(Transactions!$E:$E,Transactions!$C:$C,$B11,Transactions!$B:$B,"Expense",Transactions!$I:$I,3)</f>
        <v>0</v>
      </c>
      <c r="L11" s="13">
        <f t="shared" si="5"/>
        <v>-175</v>
      </c>
      <c r="M11" s="13">
        <f t="shared" si="6"/>
        <v>175</v>
      </c>
      <c r="N11" s="13">
        <f>SUMIFS(Transactions!$E:$E,Transactions!$C:$C,$B11,Transactions!$B:$B,"Expense",Transactions!$I:$I,4)</f>
        <v>0</v>
      </c>
      <c r="O11" s="13">
        <f t="shared" si="7"/>
        <v>-175</v>
      </c>
      <c r="P11" s="13">
        <f t="shared" si="8"/>
        <v>175</v>
      </c>
      <c r="Q11" s="13">
        <f>SUMIFS(Transactions!$E:$E,Transactions!$C:$C,$B11,Transactions!$B:$B,"Expense",Transactions!$I:$I,5)</f>
        <v>0</v>
      </c>
      <c r="R11" s="13">
        <f t="shared" si="9"/>
        <v>-175</v>
      </c>
      <c r="S11" s="13">
        <f t="shared" si="10"/>
        <v>175</v>
      </c>
      <c r="T11" s="13">
        <f>SUMIFS(Transactions!$E:$E,Transactions!$C:$C,$B11,Transactions!$B:$B,"Expense",Transactions!$I:$I,6)</f>
        <v>0</v>
      </c>
      <c r="U11" s="13">
        <f t="shared" si="11"/>
        <v>-175</v>
      </c>
      <c r="V11" s="13">
        <f t="shared" si="12"/>
        <v>175</v>
      </c>
      <c r="W11" s="13">
        <f>SUMIFS(Transactions!$E:$E,Transactions!$C:$C,$B11,Transactions!$B:$B,"Expense",Transactions!$I:$I,7)</f>
        <v>0</v>
      </c>
      <c r="X11" s="13">
        <f t="shared" si="13"/>
        <v>-175</v>
      </c>
      <c r="Y11" s="13">
        <f t="shared" si="14"/>
        <v>175</v>
      </c>
      <c r="Z11" s="13">
        <f>SUMIFS(Transactions!$E:$E,Transactions!$C:$C,$B11,Transactions!$B:$B,"Expense",Transactions!$I:$I,8)</f>
        <v>0</v>
      </c>
      <c r="AA11" s="13">
        <f t="shared" si="15"/>
        <v>-175</v>
      </c>
      <c r="AB11" s="13">
        <f t="shared" si="16"/>
        <v>175</v>
      </c>
      <c r="AC11" s="13">
        <f>SUMIFS(Transactions!$E:$E,Transactions!$C:$C,$B11,Transactions!$B:$B,"Expense",Transactions!$I:$I,9)</f>
        <v>0</v>
      </c>
      <c r="AD11" s="13">
        <f t="shared" si="17"/>
        <v>-175</v>
      </c>
      <c r="AE11" s="13">
        <f t="shared" si="18"/>
        <v>175</v>
      </c>
      <c r="AF11" s="13">
        <f>SUMIFS(Transactions!$E:$E,Transactions!$C:$C,$B11,Transactions!$B:$B,"Expense",Transactions!$I:$I,10)</f>
        <v>0</v>
      </c>
      <c r="AG11" s="13">
        <f t="shared" si="19"/>
        <v>-175</v>
      </c>
      <c r="AH11" s="13">
        <f t="shared" si="20"/>
        <v>175</v>
      </c>
      <c r="AI11" s="13">
        <f>SUMIFS(Transactions!$E:$E,Transactions!$C:$C,$B11,Transactions!$B:$B,"Expense",Transactions!$I:$I,11)</f>
        <v>0</v>
      </c>
      <c r="AJ11" s="13">
        <f t="shared" si="21"/>
        <v>-175</v>
      </c>
      <c r="AK11" s="13">
        <f t="shared" si="22"/>
        <v>175</v>
      </c>
      <c r="AL11" s="13">
        <f>SUMIFS(Transactions!$E:$E,Transactions!$C:$C,$B11,Transactions!$B:$B,"Expense",Transactions!$I:$I,12)</f>
        <v>0</v>
      </c>
      <c r="AM11" s="13">
        <f t="shared" si="23"/>
        <v>-175</v>
      </c>
    </row>
    <row r="12" spans="1:39" x14ac:dyDescent="0.3">
      <c r="A12" s="15" t="s">
        <v>23</v>
      </c>
      <c r="B12" s="16" t="s">
        <v>26</v>
      </c>
      <c r="C12" s="13">
        <v>34</v>
      </c>
      <c r="D12" s="13">
        <f t="shared" si="0"/>
        <v>34</v>
      </c>
      <c r="E12" s="13">
        <f>SUMIFS(Transactions!$E:$E,Transactions!$C:$C,$B12,Transactions!$B:$B,"Expense",Transactions!$I:$I,1)</f>
        <v>0</v>
      </c>
      <c r="F12" s="13">
        <f t="shared" si="1"/>
        <v>-34</v>
      </c>
      <c r="G12" s="13">
        <f t="shared" si="2"/>
        <v>34</v>
      </c>
      <c r="H12" s="13">
        <f>SUMIFS(Transactions!$E:$E,Transactions!$C:$C,$B12,Transactions!$B:$B,"Expense",Transactions!$I:$I,2)</f>
        <v>0</v>
      </c>
      <c r="I12" s="13">
        <f t="shared" si="3"/>
        <v>-34</v>
      </c>
      <c r="J12" s="13">
        <f t="shared" si="4"/>
        <v>34</v>
      </c>
      <c r="K12" s="13">
        <f>SUMIFS(Transactions!$E:$E,Transactions!$C:$C,$B12,Transactions!$B:$B,"Expense",Transactions!$I:$I,3)</f>
        <v>0</v>
      </c>
      <c r="L12" s="13">
        <f t="shared" si="5"/>
        <v>-34</v>
      </c>
      <c r="M12" s="13">
        <f t="shared" si="6"/>
        <v>34</v>
      </c>
      <c r="N12" s="13">
        <f>SUMIFS(Transactions!$E:$E,Transactions!$C:$C,$B12,Transactions!$B:$B,"Expense",Transactions!$I:$I,4)</f>
        <v>0</v>
      </c>
      <c r="O12" s="13">
        <f t="shared" si="7"/>
        <v>-34</v>
      </c>
      <c r="P12" s="13">
        <f t="shared" si="8"/>
        <v>34</v>
      </c>
      <c r="Q12" s="13">
        <f>SUMIFS(Transactions!$E:$E,Transactions!$C:$C,$B12,Transactions!$B:$B,"Expense",Transactions!$I:$I,5)</f>
        <v>0</v>
      </c>
      <c r="R12" s="13">
        <f t="shared" si="9"/>
        <v>-34</v>
      </c>
      <c r="S12" s="13">
        <f t="shared" si="10"/>
        <v>34</v>
      </c>
      <c r="T12" s="13">
        <f>SUMIFS(Transactions!$E:$E,Transactions!$C:$C,$B12,Transactions!$B:$B,"Expense",Transactions!$I:$I,6)</f>
        <v>0</v>
      </c>
      <c r="U12" s="13">
        <f t="shared" si="11"/>
        <v>-34</v>
      </c>
      <c r="V12" s="13">
        <f t="shared" si="12"/>
        <v>34</v>
      </c>
      <c r="W12" s="13">
        <f>SUMIFS(Transactions!$E:$E,Transactions!$C:$C,$B12,Transactions!$B:$B,"Expense",Transactions!$I:$I,7)</f>
        <v>0</v>
      </c>
      <c r="X12" s="13">
        <f t="shared" si="13"/>
        <v>-34</v>
      </c>
      <c r="Y12" s="13">
        <f t="shared" si="14"/>
        <v>34</v>
      </c>
      <c r="Z12" s="13">
        <f>SUMIFS(Transactions!$E:$E,Transactions!$C:$C,$B12,Transactions!$B:$B,"Expense",Transactions!$I:$I,8)</f>
        <v>0</v>
      </c>
      <c r="AA12" s="13">
        <f t="shared" si="15"/>
        <v>-34</v>
      </c>
      <c r="AB12" s="13">
        <f t="shared" si="16"/>
        <v>34</v>
      </c>
      <c r="AC12" s="13">
        <f>SUMIFS(Transactions!$E:$E,Transactions!$C:$C,$B12,Transactions!$B:$B,"Expense",Transactions!$I:$I,9)</f>
        <v>0</v>
      </c>
      <c r="AD12" s="13">
        <f t="shared" si="17"/>
        <v>-34</v>
      </c>
      <c r="AE12" s="13">
        <f t="shared" si="18"/>
        <v>34</v>
      </c>
      <c r="AF12" s="13">
        <f>SUMIFS(Transactions!$E:$E,Transactions!$C:$C,$B12,Transactions!$B:$B,"Expense",Transactions!$I:$I,10)</f>
        <v>0</v>
      </c>
      <c r="AG12" s="13">
        <f t="shared" si="19"/>
        <v>-34</v>
      </c>
      <c r="AH12" s="13">
        <f t="shared" si="20"/>
        <v>34</v>
      </c>
      <c r="AI12" s="13">
        <f>SUMIFS(Transactions!$E:$E,Transactions!$C:$C,$B12,Transactions!$B:$B,"Expense",Transactions!$I:$I,11)</f>
        <v>0</v>
      </c>
      <c r="AJ12" s="13">
        <f t="shared" si="21"/>
        <v>-34</v>
      </c>
      <c r="AK12" s="13">
        <f t="shared" si="22"/>
        <v>34</v>
      </c>
      <c r="AL12" s="13">
        <f>SUMIFS(Transactions!$E:$E,Transactions!$C:$C,$B12,Transactions!$B:$B,"Expense",Transactions!$I:$I,12)</f>
        <v>0</v>
      </c>
      <c r="AM12" s="13">
        <f t="shared" si="23"/>
        <v>-34</v>
      </c>
    </row>
    <row r="13" spans="1:39" x14ac:dyDescent="0.3">
      <c r="A13" s="15" t="s">
        <v>23</v>
      </c>
      <c r="B13" s="16" t="s">
        <v>27</v>
      </c>
      <c r="C13" s="13">
        <v>93</v>
      </c>
      <c r="D13" s="13">
        <f t="shared" si="0"/>
        <v>93</v>
      </c>
      <c r="E13" s="13">
        <f>SUMIFS(Transactions!$E:$E,Transactions!$C:$C,$B13,Transactions!$B:$B,"Expense",Transactions!$I:$I,1)</f>
        <v>92.77</v>
      </c>
      <c r="F13" s="13">
        <f t="shared" si="1"/>
        <v>-0.23000000000000398</v>
      </c>
      <c r="G13" s="13">
        <f t="shared" si="2"/>
        <v>93</v>
      </c>
      <c r="H13" s="13">
        <f>SUMIFS(Transactions!$E:$E,Transactions!$C:$C,$B13,Transactions!$B:$B,"Expense",Transactions!$I:$I,2)</f>
        <v>0</v>
      </c>
      <c r="I13" s="13">
        <f t="shared" si="3"/>
        <v>-93</v>
      </c>
      <c r="J13" s="13">
        <f t="shared" si="4"/>
        <v>93</v>
      </c>
      <c r="K13" s="13">
        <f>SUMIFS(Transactions!$E:$E,Transactions!$C:$C,$B13,Transactions!$B:$B,"Expense",Transactions!$I:$I,3)</f>
        <v>0</v>
      </c>
      <c r="L13" s="13">
        <f t="shared" si="5"/>
        <v>-93</v>
      </c>
      <c r="M13" s="13">
        <f t="shared" si="6"/>
        <v>93</v>
      </c>
      <c r="N13" s="13">
        <f>SUMIFS(Transactions!$E:$E,Transactions!$C:$C,$B13,Transactions!$B:$B,"Expense",Transactions!$I:$I,4)</f>
        <v>0</v>
      </c>
      <c r="O13" s="13">
        <f t="shared" si="7"/>
        <v>-93</v>
      </c>
      <c r="P13" s="13">
        <f t="shared" si="8"/>
        <v>93</v>
      </c>
      <c r="Q13" s="13">
        <f>SUMIFS(Transactions!$E:$E,Transactions!$C:$C,$B13,Transactions!$B:$B,"Expense",Transactions!$I:$I,5)</f>
        <v>0</v>
      </c>
      <c r="R13" s="13">
        <f t="shared" si="9"/>
        <v>-93</v>
      </c>
      <c r="S13" s="13">
        <f t="shared" si="10"/>
        <v>93</v>
      </c>
      <c r="T13" s="13">
        <f>SUMIFS(Transactions!$E:$E,Transactions!$C:$C,$B13,Transactions!$B:$B,"Expense",Transactions!$I:$I,6)</f>
        <v>0</v>
      </c>
      <c r="U13" s="13">
        <f t="shared" si="11"/>
        <v>-93</v>
      </c>
      <c r="V13" s="13">
        <f t="shared" si="12"/>
        <v>93</v>
      </c>
      <c r="W13" s="13">
        <f>SUMIFS(Transactions!$E:$E,Transactions!$C:$C,$B13,Transactions!$B:$B,"Expense",Transactions!$I:$I,7)</f>
        <v>0</v>
      </c>
      <c r="X13" s="13">
        <f t="shared" si="13"/>
        <v>-93</v>
      </c>
      <c r="Y13" s="13">
        <f t="shared" si="14"/>
        <v>93</v>
      </c>
      <c r="Z13" s="13">
        <f>SUMIFS(Transactions!$E:$E,Transactions!$C:$C,$B13,Transactions!$B:$B,"Expense",Transactions!$I:$I,8)</f>
        <v>0</v>
      </c>
      <c r="AA13" s="13">
        <f t="shared" si="15"/>
        <v>-93</v>
      </c>
      <c r="AB13" s="13">
        <f t="shared" si="16"/>
        <v>93</v>
      </c>
      <c r="AC13" s="13">
        <f>SUMIFS(Transactions!$E:$E,Transactions!$C:$C,$B13,Transactions!$B:$B,"Expense",Transactions!$I:$I,9)</f>
        <v>0</v>
      </c>
      <c r="AD13" s="13">
        <f t="shared" si="17"/>
        <v>-93</v>
      </c>
      <c r="AE13" s="13">
        <f t="shared" si="18"/>
        <v>93</v>
      </c>
      <c r="AF13" s="13">
        <f>SUMIFS(Transactions!$E:$E,Transactions!$C:$C,$B13,Transactions!$B:$B,"Expense",Transactions!$I:$I,10)</f>
        <v>0</v>
      </c>
      <c r="AG13" s="13">
        <f t="shared" si="19"/>
        <v>-93</v>
      </c>
      <c r="AH13" s="13">
        <f t="shared" si="20"/>
        <v>93</v>
      </c>
      <c r="AI13" s="13">
        <f>SUMIFS(Transactions!$E:$E,Transactions!$C:$C,$B13,Transactions!$B:$B,"Expense",Transactions!$I:$I,11)</f>
        <v>0</v>
      </c>
      <c r="AJ13" s="13">
        <f t="shared" si="21"/>
        <v>-93</v>
      </c>
      <c r="AK13" s="13">
        <f t="shared" si="22"/>
        <v>93</v>
      </c>
      <c r="AL13" s="13">
        <f>SUMIFS(Transactions!$E:$E,Transactions!$C:$C,$B13,Transactions!$B:$B,"Expense",Transactions!$I:$I,12)</f>
        <v>0</v>
      </c>
      <c r="AM13" s="13">
        <f t="shared" si="23"/>
        <v>-93</v>
      </c>
    </row>
    <row r="14" spans="1:39" x14ac:dyDescent="0.3">
      <c r="A14" s="15" t="s">
        <v>23</v>
      </c>
      <c r="B14" s="16" t="s">
        <v>28</v>
      </c>
      <c r="C14" s="13">
        <v>200</v>
      </c>
      <c r="D14" s="13">
        <f t="shared" si="0"/>
        <v>200</v>
      </c>
      <c r="E14" s="13">
        <f>SUMIFS(Transactions!$E:$E,Transactions!$C:$C,$B14,Transactions!$B:$B,"Expense",Transactions!$I:$I,1)</f>
        <v>50</v>
      </c>
      <c r="F14" s="13">
        <f t="shared" si="1"/>
        <v>-150</v>
      </c>
      <c r="G14" s="13">
        <f t="shared" si="2"/>
        <v>200</v>
      </c>
      <c r="H14" s="13">
        <f>SUMIFS(Transactions!$E:$E,Transactions!$C:$C,$B14,Transactions!$B:$B,"Expense",Transactions!$I:$I,2)</f>
        <v>0</v>
      </c>
      <c r="I14" s="13">
        <f t="shared" si="3"/>
        <v>-200</v>
      </c>
      <c r="J14" s="13">
        <f t="shared" si="4"/>
        <v>200</v>
      </c>
      <c r="K14" s="13">
        <f>SUMIFS(Transactions!$E:$E,Transactions!$C:$C,$B14,Transactions!$B:$B,"Expense",Transactions!$I:$I,3)</f>
        <v>0</v>
      </c>
      <c r="L14" s="13">
        <f t="shared" si="5"/>
        <v>-200</v>
      </c>
      <c r="M14" s="13">
        <f t="shared" si="6"/>
        <v>200</v>
      </c>
      <c r="N14" s="13">
        <f>SUMIFS(Transactions!$E:$E,Transactions!$C:$C,$B14,Transactions!$B:$B,"Expense",Transactions!$I:$I,4)</f>
        <v>0</v>
      </c>
      <c r="O14" s="13">
        <f t="shared" si="7"/>
        <v>-200</v>
      </c>
      <c r="P14" s="13">
        <f t="shared" si="8"/>
        <v>200</v>
      </c>
      <c r="Q14" s="13">
        <f>SUMIFS(Transactions!$E:$E,Transactions!$C:$C,$B14,Transactions!$B:$B,"Expense",Transactions!$I:$I,5)</f>
        <v>0</v>
      </c>
      <c r="R14" s="13">
        <f t="shared" si="9"/>
        <v>-200</v>
      </c>
      <c r="S14" s="13">
        <f t="shared" si="10"/>
        <v>200</v>
      </c>
      <c r="T14" s="13">
        <f>SUMIFS(Transactions!$E:$E,Transactions!$C:$C,$B14,Transactions!$B:$B,"Expense",Transactions!$I:$I,6)</f>
        <v>0</v>
      </c>
      <c r="U14" s="13">
        <f t="shared" si="11"/>
        <v>-200</v>
      </c>
      <c r="V14" s="13">
        <f t="shared" si="12"/>
        <v>200</v>
      </c>
      <c r="W14" s="13">
        <f>SUMIFS(Transactions!$E:$E,Transactions!$C:$C,$B14,Transactions!$B:$B,"Expense",Transactions!$I:$I,7)</f>
        <v>0</v>
      </c>
      <c r="X14" s="13">
        <f t="shared" si="13"/>
        <v>-200</v>
      </c>
      <c r="Y14" s="13">
        <f t="shared" si="14"/>
        <v>200</v>
      </c>
      <c r="Z14" s="13">
        <f>SUMIFS(Transactions!$E:$E,Transactions!$C:$C,$B14,Transactions!$B:$B,"Expense",Transactions!$I:$I,8)</f>
        <v>0</v>
      </c>
      <c r="AA14" s="13">
        <f t="shared" si="15"/>
        <v>-200</v>
      </c>
      <c r="AB14" s="13">
        <f t="shared" si="16"/>
        <v>200</v>
      </c>
      <c r="AC14" s="13">
        <f>SUMIFS(Transactions!$E:$E,Transactions!$C:$C,$B14,Transactions!$B:$B,"Expense",Transactions!$I:$I,9)</f>
        <v>0</v>
      </c>
      <c r="AD14" s="13">
        <f t="shared" si="17"/>
        <v>-200</v>
      </c>
      <c r="AE14" s="13">
        <f t="shared" si="18"/>
        <v>200</v>
      </c>
      <c r="AF14" s="13">
        <f>SUMIFS(Transactions!$E:$E,Transactions!$C:$C,$B14,Transactions!$B:$B,"Expense",Transactions!$I:$I,10)</f>
        <v>0</v>
      </c>
      <c r="AG14" s="13">
        <f t="shared" si="19"/>
        <v>-200</v>
      </c>
      <c r="AH14" s="13">
        <f t="shared" si="20"/>
        <v>200</v>
      </c>
      <c r="AI14" s="13">
        <f>SUMIFS(Transactions!$E:$E,Transactions!$C:$C,$B14,Transactions!$B:$B,"Expense",Transactions!$I:$I,11)</f>
        <v>0</v>
      </c>
      <c r="AJ14" s="13">
        <f t="shared" si="21"/>
        <v>-200</v>
      </c>
      <c r="AK14" s="13">
        <f t="shared" si="22"/>
        <v>200</v>
      </c>
      <c r="AL14" s="13">
        <f>SUMIFS(Transactions!$E:$E,Transactions!$C:$C,$B14,Transactions!$B:$B,"Expense",Transactions!$I:$I,12)</f>
        <v>0</v>
      </c>
      <c r="AM14" s="13">
        <f t="shared" si="23"/>
        <v>-200</v>
      </c>
    </row>
    <row r="15" spans="1:39" x14ac:dyDescent="0.3">
      <c r="A15" s="15" t="s">
        <v>23</v>
      </c>
      <c r="B15" s="16" t="s">
        <v>29</v>
      </c>
      <c r="C15" s="13">
        <v>37</v>
      </c>
      <c r="D15" s="13">
        <f t="shared" si="0"/>
        <v>37</v>
      </c>
      <c r="E15" s="13">
        <f>SUMIFS(Transactions!$E:$E,Transactions!$C:$C,$B15,Transactions!$B:$B,"Expense",Transactions!$I:$I,1)</f>
        <v>36.83</v>
      </c>
      <c r="F15" s="13">
        <f t="shared" si="1"/>
        <v>-0.17000000000000171</v>
      </c>
      <c r="G15" s="13">
        <f t="shared" si="2"/>
        <v>37</v>
      </c>
      <c r="H15" s="13">
        <f>SUMIFS(Transactions!$E:$E,Transactions!$C:$C,$B15,Transactions!$B:$B,"Expense",Transactions!$I:$I,2)</f>
        <v>0</v>
      </c>
      <c r="I15" s="13">
        <f t="shared" si="3"/>
        <v>-37</v>
      </c>
      <c r="J15" s="13">
        <f t="shared" si="4"/>
        <v>37</v>
      </c>
      <c r="K15" s="13">
        <f>SUMIFS(Transactions!$E:$E,Transactions!$C:$C,$B15,Transactions!$B:$B,"Expense",Transactions!$I:$I,3)</f>
        <v>0</v>
      </c>
      <c r="L15" s="13">
        <f t="shared" si="5"/>
        <v>-37</v>
      </c>
      <c r="M15" s="13">
        <f t="shared" si="6"/>
        <v>37</v>
      </c>
      <c r="N15" s="13">
        <f>SUMIFS(Transactions!$E:$E,Transactions!$C:$C,$B15,Transactions!$B:$B,"Expense",Transactions!$I:$I,4)</f>
        <v>0</v>
      </c>
      <c r="O15" s="13">
        <f t="shared" si="7"/>
        <v>-37</v>
      </c>
      <c r="P15" s="13">
        <f t="shared" si="8"/>
        <v>37</v>
      </c>
      <c r="Q15" s="13">
        <f>SUMIFS(Transactions!$E:$E,Transactions!$C:$C,$B15,Transactions!$B:$B,"Expense",Transactions!$I:$I,5)</f>
        <v>0</v>
      </c>
      <c r="R15" s="13">
        <f t="shared" si="9"/>
        <v>-37</v>
      </c>
      <c r="S15" s="13">
        <f t="shared" si="10"/>
        <v>37</v>
      </c>
      <c r="T15" s="13">
        <f>SUMIFS(Transactions!$E:$E,Transactions!$C:$C,$B15,Transactions!$B:$B,"Expense",Transactions!$I:$I,6)</f>
        <v>0</v>
      </c>
      <c r="U15" s="13">
        <f t="shared" si="11"/>
        <v>-37</v>
      </c>
      <c r="V15" s="13">
        <f t="shared" si="12"/>
        <v>37</v>
      </c>
      <c r="W15" s="13">
        <f>SUMIFS(Transactions!$E:$E,Transactions!$C:$C,$B15,Transactions!$B:$B,"Expense",Transactions!$I:$I,7)</f>
        <v>0</v>
      </c>
      <c r="X15" s="13">
        <f t="shared" si="13"/>
        <v>-37</v>
      </c>
      <c r="Y15" s="13">
        <f t="shared" si="14"/>
        <v>37</v>
      </c>
      <c r="Z15" s="13">
        <f>SUMIFS(Transactions!$E:$E,Transactions!$C:$C,$B15,Transactions!$B:$B,"Expense",Transactions!$I:$I,8)</f>
        <v>0</v>
      </c>
      <c r="AA15" s="13">
        <f t="shared" si="15"/>
        <v>-37</v>
      </c>
      <c r="AB15" s="13">
        <f t="shared" si="16"/>
        <v>37</v>
      </c>
      <c r="AC15" s="13">
        <f>SUMIFS(Transactions!$E:$E,Transactions!$C:$C,$B15,Transactions!$B:$B,"Expense",Transactions!$I:$I,9)</f>
        <v>0</v>
      </c>
      <c r="AD15" s="13">
        <f t="shared" si="17"/>
        <v>-37</v>
      </c>
      <c r="AE15" s="13">
        <f t="shared" si="18"/>
        <v>37</v>
      </c>
      <c r="AF15" s="13">
        <f>SUMIFS(Transactions!$E:$E,Transactions!$C:$C,$B15,Transactions!$B:$B,"Expense",Transactions!$I:$I,10)</f>
        <v>0</v>
      </c>
      <c r="AG15" s="13">
        <f t="shared" si="19"/>
        <v>-37</v>
      </c>
      <c r="AH15" s="13">
        <f t="shared" si="20"/>
        <v>37</v>
      </c>
      <c r="AI15" s="13">
        <f>SUMIFS(Transactions!$E:$E,Transactions!$C:$C,$B15,Transactions!$B:$B,"Expense",Transactions!$I:$I,11)</f>
        <v>0</v>
      </c>
      <c r="AJ15" s="13">
        <f t="shared" si="21"/>
        <v>-37</v>
      </c>
      <c r="AK15" s="13">
        <f t="shared" si="22"/>
        <v>37</v>
      </c>
      <c r="AL15" s="13">
        <f>SUMIFS(Transactions!$E:$E,Transactions!$C:$C,$B15,Transactions!$B:$B,"Expense",Transactions!$I:$I,12)</f>
        <v>0</v>
      </c>
      <c r="AM15" s="13">
        <f t="shared" si="23"/>
        <v>-37</v>
      </c>
    </row>
    <row r="16" spans="1:39" x14ac:dyDescent="0.3">
      <c r="A16" s="15" t="s">
        <v>23</v>
      </c>
      <c r="B16" s="16" t="s">
        <v>30</v>
      </c>
      <c r="C16" s="13">
        <v>108</v>
      </c>
      <c r="D16" s="13">
        <f t="shared" si="0"/>
        <v>108</v>
      </c>
      <c r="E16" s="13">
        <f>SUMIFS(Transactions!$E:$E,Transactions!$C:$C,$B16,Transactions!$B:$B,"Expense",Transactions!$I:$I,1)</f>
        <v>53.95</v>
      </c>
      <c r="F16" s="13">
        <f t="shared" si="1"/>
        <v>-54.05</v>
      </c>
      <c r="G16" s="13">
        <f t="shared" si="2"/>
        <v>108</v>
      </c>
      <c r="H16" s="13">
        <f>SUMIFS(Transactions!$E:$E,Transactions!$C:$C,$B16,Transactions!$B:$B,"Expense",Transactions!$I:$I,2)</f>
        <v>0</v>
      </c>
      <c r="I16" s="13">
        <f t="shared" si="3"/>
        <v>-108</v>
      </c>
      <c r="J16" s="13">
        <f t="shared" si="4"/>
        <v>108</v>
      </c>
      <c r="K16" s="13">
        <f>SUMIFS(Transactions!$E:$E,Transactions!$C:$C,$B16,Transactions!$B:$B,"Expense",Transactions!$I:$I,3)</f>
        <v>0</v>
      </c>
      <c r="L16" s="13">
        <f t="shared" si="5"/>
        <v>-108</v>
      </c>
      <c r="M16" s="13">
        <f t="shared" si="6"/>
        <v>108</v>
      </c>
      <c r="N16" s="13">
        <f>SUMIFS(Transactions!$E:$E,Transactions!$C:$C,$B16,Transactions!$B:$B,"Expense",Transactions!$I:$I,4)</f>
        <v>0</v>
      </c>
      <c r="O16" s="13">
        <f t="shared" si="7"/>
        <v>-108</v>
      </c>
      <c r="P16" s="13">
        <f t="shared" si="8"/>
        <v>108</v>
      </c>
      <c r="Q16" s="13">
        <f>SUMIFS(Transactions!$E:$E,Transactions!$C:$C,$B16,Transactions!$B:$B,"Expense",Transactions!$I:$I,5)</f>
        <v>0</v>
      </c>
      <c r="R16" s="13">
        <f t="shared" si="9"/>
        <v>-108</v>
      </c>
      <c r="S16" s="13">
        <f t="shared" si="10"/>
        <v>108</v>
      </c>
      <c r="T16" s="13">
        <f>SUMIFS(Transactions!$E:$E,Transactions!$C:$C,$B16,Transactions!$B:$B,"Expense",Transactions!$I:$I,6)</f>
        <v>0</v>
      </c>
      <c r="U16" s="13">
        <f t="shared" si="11"/>
        <v>-108</v>
      </c>
      <c r="V16" s="13">
        <f t="shared" si="12"/>
        <v>108</v>
      </c>
      <c r="W16" s="13">
        <f>SUMIFS(Transactions!$E:$E,Transactions!$C:$C,$B16,Transactions!$B:$B,"Expense",Transactions!$I:$I,7)</f>
        <v>0</v>
      </c>
      <c r="X16" s="13">
        <f t="shared" si="13"/>
        <v>-108</v>
      </c>
      <c r="Y16" s="13">
        <f t="shared" si="14"/>
        <v>108</v>
      </c>
      <c r="Z16" s="13">
        <f>SUMIFS(Transactions!$E:$E,Transactions!$C:$C,$B16,Transactions!$B:$B,"Expense",Transactions!$I:$I,8)</f>
        <v>0</v>
      </c>
      <c r="AA16" s="13">
        <f t="shared" si="15"/>
        <v>-108</v>
      </c>
      <c r="AB16" s="13">
        <f t="shared" si="16"/>
        <v>108</v>
      </c>
      <c r="AC16" s="13">
        <f>SUMIFS(Transactions!$E:$E,Transactions!$C:$C,$B16,Transactions!$B:$B,"Expense",Transactions!$I:$I,9)</f>
        <v>0</v>
      </c>
      <c r="AD16" s="13">
        <f t="shared" si="17"/>
        <v>-108</v>
      </c>
      <c r="AE16" s="13">
        <f t="shared" si="18"/>
        <v>108</v>
      </c>
      <c r="AF16" s="13">
        <f>SUMIFS(Transactions!$E:$E,Transactions!$C:$C,$B16,Transactions!$B:$B,"Expense",Transactions!$I:$I,10)</f>
        <v>0</v>
      </c>
      <c r="AG16" s="13">
        <f t="shared" si="19"/>
        <v>-108</v>
      </c>
      <c r="AH16" s="13">
        <f t="shared" si="20"/>
        <v>108</v>
      </c>
      <c r="AI16" s="13">
        <f>SUMIFS(Transactions!$E:$E,Transactions!$C:$C,$B16,Transactions!$B:$B,"Expense",Transactions!$I:$I,11)</f>
        <v>0</v>
      </c>
      <c r="AJ16" s="13">
        <f t="shared" si="21"/>
        <v>-108</v>
      </c>
      <c r="AK16" s="13">
        <f t="shared" si="22"/>
        <v>108</v>
      </c>
      <c r="AL16" s="13">
        <f>SUMIFS(Transactions!$E:$E,Transactions!$C:$C,$B16,Transactions!$B:$B,"Expense",Transactions!$I:$I,12)</f>
        <v>0</v>
      </c>
      <c r="AM16" s="13">
        <f t="shared" si="23"/>
        <v>-108</v>
      </c>
    </row>
    <row r="17" spans="1:39" x14ac:dyDescent="0.3">
      <c r="A17" s="15" t="s">
        <v>23</v>
      </c>
      <c r="B17" s="16" t="s">
        <v>31</v>
      </c>
      <c r="C17" s="13">
        <v>140</v>
      </c>
      <c r="D17" s="13">
        <f t="shared" si="0"/>
        <v>140</v>
      </c>
      <c r="E17" s="13">
        <f>SUMIFS(Transactions!$E:$E,Transactions!$C:$C,$B17,Transactions!$B:$B,"Expense",Transactions!$I:$I,1)</f>
        <v>140</v>
      </c>
      <c r="F17" s="13">
        <f t="shared" si="1"/>
        <v>0</v>
      </c>
      <c r="G17" s="13">
        <f t="shared" si="2"/>
        <v>140</v>
      </c>
      <c r="H17" s="13">
        <f>SUMIFS(Transactions!$E:$E,Transactions!$C:$C,$B17,Transactions!$B:$B,"Expense",Transactions!$I:$I,2)</f>
        <v>0</v>
      </c>
      <c r="I17" s="13">
        <f t="shared" si="3"/>
        <v>-140</v>
      </c>
      <c r="J17" s="13">
        <f t="shared" si="4"/>
        <v>140</v>
      </c>
      <c r="K17" s="13">
        <f>SUMIFS(Transactions!$E:$E,Transactions!$C:$C,$B17,Transactions!$B:$B,"Expense",Transactions!$I:$I,3)</f>
        <v>0</v>
      </c>
      <c r="L17" s="13">
        <f t="shared" si="5"/>
        <v>-140</v>
      </c>
      <c r="M17" s="13">
        <f t="shared" si="6"/>
        <v>140</v>
      </c>
      <c r="N17" s="13">
        <f>SUMIFS(Transactions!$E:$E,Transactions!$C:$C,$B17,Transactions!$B:$B,"Expense",Transactions!$I:$I,4)</f>
        <v>0</v>
      </c>
      <c r="O17" s="13">
        <f t="shared" si="7"/>
        <v>-140</v>
      </c>
      <c r="P17" s="13">
        <f t="shared" si="8"/>
        <v>140</v>
      </c>
      <c r="Q17" s="13">
        <f>SUMIFS(Transactions!$E:$E,Transactions!$C:$C,$B17,Transactions!$B:$B,"Expense",Transactions!$I:$I,5)</f>
        <v>0</v>
      </c>
      <c r="R17" s="13">
        <f t="shared" si="9"/>
        <v>-140</v>
      </c>
      <c r="S17" s="13">
        <f t="shared" si="10"/>
        <v>140</v>
      </c>
      <c r="T17" s="13">
        <f>SUMIFS(Transactions!$E:$E,Transactions!$C:$C,$B17,Transactions!$B:$B,"Expense",Transactions!$I:$I,6)</f>
        <v>0</v>
      </c>
      <c r="U17" s="13">
        <f t="shared" si="11"/>
        <v>-140</v>
      </c>
      <c r="V17" s="13">
        <f t="shared" si="12"/>
        <v>140</v>
      </c>
      <c r="W17" s="13">
        <f>SUMIFS(Transactions!$E:$E,Transactions!$C:$C,$B17,Transactions!$B:$B,"Expense",Transactions!$I:$I,7)</f>
        <v>0</v>
      </c>
      <c r="X17" s="13">
        <f t="shared" si="13"/>
        <v>-140</v>
      </c>
      <c r="Y17" s="13">
        <f t="shared" si="14"/>
        <v>140</v>
      </c>
      <c r="Z17" s="13">
        <f>SUMIFS(Transactions!$E:$E,Transactions!$C:$C,$B17,Transactions!$B:$B,"Expense",Transactions!$I:$I,8)</f>
        <v>0</v>
      </c>
      <c r="AA17" s="13">
        <f t="shared" si="15"/>
        <v>-140</v>
      </c>
      <c r="AB17" s="13">
        <f t="shared" si="16"/>
        <v>140</v>
      </c>
      <c r="AC17" s="13">
        <f>SUMIFS(Transactions!$E:$E,Transactions!$C:$C,$B17,Transactions!$B:$B,"Expense",Transactions!$I:$I,9)</f>
        <v>0</v>
      </c>
      <c r="AD17" s="13">
        <f t="shared" si="17"/>
        <v>-140</v>
      </c>
      <c r="AE17" s="13">
        <f t="shared" si="18"/>
        <v>140</v>
      </c>
      <c r="AF17" s="13">
        <f>SUMIFS(Transactions!$E:$E,Transactions!$C:$C,$B17,Transactions!$B:$B,"Expense",Transactions!$I:$I,10)</f>
        <v>0</v>
      </c>
      <c r="AG17" s="13">
        <f t="shared" si="19"/>
        <v>-140</v>
      </c>
      <c r="AH17" s="13">
        <f t="shared" si="20"/>
        <v>140</v>
      </c>
      <c r="AI17" s="13">
        <f>SUMIFS(Transactions!$E:$E,Transactions!$C:$C,$B17,Transactions!$B:$B,"Expense",Transactions!$I:$I,11)</f>
        <v>0</v>
      </c>
      <c r="AJ17" s="13">
        <f t="shared" si="21"/>
        <v>-140</v>
      </c>
      <c r="AK17" s="13">
        <f t="shared" si="22"/>
        <v>140</v>
      </c>
      <c r="AL17" s="13">
        <f>SUMIFS(Transactions!$E:$E,Transactions!$C:$C,$B17,Transactions!$B:$B,"Expense",Transactions!$I:$I,12)</f>
        <v>0</v>
      </c>
      <c r="AM17" s="13">
        <f t="shared" si="23"/>
        <v>-140</v>
      </c>
    </row>
    <row r="18" spans="1:39" x14ac:dyDescent="0.3">
      <c r="A18" s="15" t="s">
        <v>23</v>
      </c>
      <c r="B18" s="16" t="s">
        <v>250</v>
      </c>
      <c r="C18" s="13">
        <v>400</v>
      </c>
      <c r="D18" s="13">
        <f t="shared" si="0"/>
        <v>400</v>
      </c>
      <c r="E18" s="13">
        <f>SUMIFS(Transactions!$E:$E,Transactions!$C:$C,$B18,Transactions!$B:$B,"Expense",Transactions!$I:$I,1)</f>
        <v>438.91999999999996</v>
      </c>
      <c r="F18" s="13">
        <f t="shared" si="1"/>
        <v>38.919999999999959</v>
      </c>
      <c r="G18" s="13">
        <f t="shared" si="2"/>
        <v>400</v>
      </c>
      <c r="H18" s="13">
        <f>SUMIFS(Transactions!$E:$E,Transactions!$C:$C,$B18,Transactions!$B:$B,"Expense",Transactions!$I:$I,2)</f>
        <v>0</v>
      </c>
      <c r="I18" s="13">
        <f t="shared" si="3"/>
        <v>-400</v>
      </c>
      <c r="J18" s="13">
        <f t="shared" si="4"/>
        <v>400</v>
      </c>
      <c r="K18" s="13">
        <f>SUMIFS(Transactions!$E:$E,Transactions!$C:$C,$B18,Transactions!$B:$B,"Expense",Transactions!$I:$I,3)</f>
        <v>0</v>
      </c>
      <c r="L18" s="13">
        <f t="shared" si="5"/>
        <v>-400</v>
      </c>
      <c r="M18" s="13">
        <f t="shared" si="6"/>
        <v>400</v>
      </c>
      <c r="N18" s="13">
        <f>SUMIFS(Transactions!$E:$E,Transactions!$C:$C,$B18,Transactions!$B:$B,"Expense",Transactions!$I:$I,4)</f>
        <v>0</v>
      </c>
      <c r="O18" s="13">
        <f t="shared" si="7"/>
        <v>-400</v>
      </c>
      <c r="P18" s="13">
        <f t="shared" si="8"/>
        <v>400</v>
      </c>
      <c r="Q18" s="13">
        <f>SUMIFS(Transactions!$E:$E,Transactions!$C:$C,$B18,Transactions!$B:$B,"Expense",Transactions!$I:$I,5)</f>
        <v>0</v>
      </c>
      <c r="R18" s="13">
        <f t="shared" si="9"/>
        <v>-400</v>
      </c>
      <c r="S18" s="13">
        <f t="shared" si="10"/>
        <v>400</v>
      </c>
      <c r="T18" s="13">
        <f>SUMIFS(Transactions!$E:$E,Transactions!$C:$C,$B18,Transactions!$B:$B,"Expense",Transactions!$I:$I,6)</f>
        <v>0</v>
      </c>
      <c r="U18" s="13">
        <f t="shared" si="11"/>
        <v>-400</v>
      </c>
      <c r="V18" s="13">
        <f t="shared" si="12"/>
        <v>400</v>
      </c>
      <c r="W18" s="13">
        <f>SUMIFS(Transactions!$E:$E,Transactions!$C:$C,$B18,Transactions!$B:$B,"Expense",Transactions!$I:$I,7)</f>
        <v>0</v>
      </c>
      <c r="X18" s="13">
        <f t="shared" si="13"/>
        <v>-400</v>
      </c>
      <c r="Y18" s="13">
        <f t="shared" si="14"/>
        <v>400</v>
      </c>
      <c r="Z18" s="13">
        <f>SUMIFS(Transactions!$E:$E,Transactions!$C:$C,$B18,Transactions!$B:$B,"Expense",Transactions!$I:$I,8)</f>
        <v>0</v>
      </c>
      <c r="AA18" s="13">
        <f t="shared" si="15"/>
        <v>-400</v>
      </c>
      <c r="AB18" s="13">
        <f t="shared" si="16"/>
        <v>400</v>
      </c>
      <c r="AC18" s="13">
        <f>SUMIFS(Transactions!$E:$E,Transactions!$C:$C,$B18,Transactions!$B:$B,"Expense",Transactions!$I:$I,9)</f>
        <v>0</v>
      </c>
      <c r="AD18" s="13">
        <f t="shared" si="17"/>
        <v>-400</v>
      </c>
      <c r="AE18" s="13">
        <f t="shared" si="18"/>
        <v>400</v>
      </c>
      <c r="AF18" s="13">
        <f>SUMIFS(Transactions!$E:$E,Transactions!$C:$C,$B18,Transactions!$B:$B,"Expense",Transactions!$I:$I,10)</f>
        <v>0</v>
      </c>
      <c r="AG18" s="13">
        <f t="shared" si="19"/>
        <v>-400</v>
      </c>
      <c r="AH18" s="13">
        <f t="shared" si="20"/>
        <v>400</v>
      </c>
      <c r="AI18" s="13">
        <f>SUMIFS(Transactions!$E:$E,Transactions!$C:$C,$B18,Transactions!$B:$B,"Expense",Transactions!$I:$I,11)</f>
        <v>0</v>
      </c>
      <c r="AJ18" s="13">
        <f t="shared" si="21"/>
        <v>-400</v>
      </c>
      <c r="AK18" s="13">
        <f t="shared" si="22"/>
        <v>400</v>
      </c>
      <c r="AL18" s="13">
        <f>SUMIFS(Transactions!$E:$E,Transactions!$C:$C,$B18,Transactions!$B:$B,"Expense",Transactions!$I:$I,12)</f>
        <v>0</v>
      </c>
      <c r="AM18" s="13">
        <f t="shared" si="23"/>
        <v>-400</v>
      </c>
    </row>
    <row r="19" spans="1:39" x14ac:dyDescent="0.3">
      <c r="A19" s="15" t="s">
        <v>23</v>
      </c>
      <c r="B19" s="16" t="s">
        <v>32</v>
      </c>
      <c r="C19" s="13">
        <v>100</v>
      </c>
      <c r="D19" s="13">
        <f t="shared" si="0"/>
        <v>100</v>
      </c>
      <c r="E19" s="13">
        <f>SUMIFS(Transactions!$E:$E,Transactions!$C:$C,$B19,Transactions!$B:$B,"Expense",Transactions!$I:$I,1)</f>
        <v>30.17</v>
      </c>
      <c r="F19" s="13">
        <f t="shared" si="1"/>
        <v>-69.83</v>
      </c>
      <c r="G19" s="13">
        <f t="shared" si="2"/>
        <v>100</v>
      </c>
      <c r="H19" s="13">
        <f>SUMIFS(Transactions!$E:$E,Transactions!$C:$C,$B19,Transactions!$B:$B,"Expense",Transactions!$I:$I,2)</f>
        <v>0</v>
      </c>
      <c r="I19" s="13">
        <f t="shared" si="3"/>
        <v>-100</v>
      </c>
      <c r="J19" s="13">
        <f t="shared" si="4"/>
        <v>100</v>
      </c>
      <c r="K19" s="13">
        <f>SUMIFS(Transactions!$E:$E,Transactions!$C:$C,$B19,Transactions!$B:$B,"Expense",Transactions!$I:$I,3)</f>
        <v>0</v>
      </c>
      <c r="L19" s="13">
        <f t="shared" si="5"/>
        <v>-100</v>
      </c>
      <c r="M19" s="13">
        <f t="shared" si="6"/>
        <v>100</v>
      </c>
      <c r="N19" s="13">
        <f>SUMIFS(Transactions!$E:$E,Transactions!$C:$C,$B19,Transactions!$B:$B,"Expense",Transactions!$I:$I,4)</f>
        <v>0</v>
      </c>
      <c r="O19" s="13">
        <f t="shared" si="7"/>
        <v>-100</v>
      </c>
      <c r="P19" s="13">
        <f t="shared" si="8"/>
        <v>100</v>
      </c>
      <c r="Q19" s="13">
        <f>SUMIFS(Transactions!$E:$E,Transactions!$C:$C,$B19,Transactions!$B:$B,"Expense",Transactions!$I:$I,5)</f>
        <v>0</v>
      </c>
      <c r="R19" s="13">
        <f t="shared" si="9"/>
        <v>-100</v>
      </c>
      <c r="S19" s="13">
        <f t="shared" si="10"/>
        <v>100</v>
      </c>
      <c r="T19" s="13">
        <f>SUMIFS(Transactions!$E:$E,Transactions!$C:$C,$B19,Transactions!$B:$B,"Expense",Transactions!$I:$I,6)</f>
        <v>0</v>
      </c>
      <c r="U19" s="13">
        <f t="shared" si="11"/>
        <v>-100</v>
      </c>
      <c r="V19" s="13">
        <f t="shared" si="12"/>
        <v>100</v>
      </c>
      <c r="W19" s="13">
        <f>SUMIFS(Transactions!$E:$E,Transactions!$C:$C,$B19,Transactions!$B:$B,"Expense",Transactions!$I:$I,7)</f>
        <v>0</v>
      </c>
      <c r="X19" s="13">
        <f t="shared" si="13"/>
        <v>-100</v>
      </c>
      <c r="Y19" s="13">
        <f t="shared" si="14"/>
        <v>100</v>
      </c>
      <c r="Z19" s="13">
        <f>SUMIFS(Transactions!$E:$E,Transactions!$C:$C,$B19,Transactions!$B:$B,"Expense",Transactions!$I:$I,8)</f>
        <v>0</v>
      </c>
      <c r="AA19" s="13">
        <f t="shared" si="15"/>
        <v>-100</v>
      </c>
      <c r="AB19" s="13">
        <f t="shared" si="16"/>
        <v>100</v>
      </c>
      <c r="AC19" s="13">
        <f>SUMIFS(Transactions!$E:$E,Transactions!$C:$C,$B19,Transactions!$B:$B,"Expense",Transactions!$I:$I,9)</f>
        <v>0</v>
      </c>
      <c r="AD19" s="13">
        <f t="shared" si="17"/>
        <v>-100</v>
      </c>
      <c r="AE19" s="13">
        <f t="shared" si="18"/>
        <v>100</v>
      </c>
      <c r="AF19" s="13">
        <f>SUMIFS(Transactions!$E:$E,Transactions!$C:$C,$B19,Transactions!$B:$B,"Expense",Transactions!$I:$I,10)</f>
        <v>0</v>
      </c>
      <c r="AG19" s="13">
        <f t="shared" si="19"/>
        <v>-100</v>
      </c>
      <c r="AH19" s="13">
        <f t="shared" si="20"/>
        <v>100</v>
      </c>
      <c r="AI19" s="13">
        <f>SUMIFS(Transactions!$E:$E,Transactions!$C:$C,$B19,Transactions!$B:$B,"Expense",Transactions!$I:$I,11)</f>
        <v>0</v>
      </c>
      <c r="AJ19" s="13">
        <f t="shared" si="21"/>
        <v>-100</v>
      </c>
      <c r="AK19" s="13">
        <f t="shared" si="22"/>
        <v>100</v>
      </c>
      <c r="AL19" s="13">
        <f>SUMIFS(Transactions!$E:$E,Transactions!$C:$C,$B19,Transactions!$B:$B,"Expense",Transactions!$I:$I,12)</f>
        <v>0</v>
      </c>
      <c r="AM19" s="13">
        <f t="shared" si="23"/>
        <v>-100</v>
      </c>
    </row>
    <row r="20" spans="1:39" s="91" customFormat="1" x14ac:dyDescent="0.3">
      <c r="A20" s="15" t="s">
        <v>23</v>
      </c>
      <c r="B20" s="16" t="s">
        <v>241</v>
      </c>
      <c r="C20" s="13">
        <v>560</v>
      </c>
      <c r="D20" s="13">
        <f t="shared" si="0"/>
        <v>560</v>
      </c>
      <c r="E20" s="13">
        <f>SUMIFS(Transactions!$E:$E,Transactions!$C:$C,$B20,Transactions!$B:$B,"Expense",Transactions!$I:$I,1)</f>
        <v>129.97</v>
      </c>
      <c r="F20" s="13">
        <f t="shared" ref="F20:F21" si="24">E20-D20</f>
        <v>-430.03</v>
      </c>
      <c r="G20" s="13">
        <f t="shared" si="2"/>
        <v>560</v>
      </c>
      <c r="H20" s="13">
        <f>SUMIFS(Transactions!$E:$E,Transactions!$C:$C,$B20,Transactions!$B:$B,"Expense",Transactions!$I:$I,2)</f>
        <v>0</v>
      </c>
      <c r="I20" s="13">
        <f t="shared" ref="I20:I21" si="25">H20-G20</f>
        <v>-560</v>
      </c>
      <c r="J20" s="13">
        <f t="shared" si="4"/>
        <v>560</v>
      </c>
      <c r="K20" s="13">
        <f>SUMIFS(Transactions!$E:$E,Transactions!$C:$C,$B20,Transactions!$B:$B,"Expense",Transactions!$I:$I,3)</f>
        <v>0</v>
      </c>
      <c r="L20" s="13">
        <f t="shared" ref="L20:L21" si="26">K20-J20</f>
        <v>-560</v>
      </c>
      <c r="M20" s="13">
        <f t="shared" si="6"/>
        <v>560</v>
      </c>
      <c r="N20" s="13">
        <f>SUMIFS(Transactions!$E:$E,Transactions!$C:$C,$B20,Transactions!$B:$B,"Expense",Transactions!$I:$I,4)</f>
        <v>0</v>
      </c>
      <c r="O20" s="13">
        <f t="shared" ref="O20:O21" si="27">N20-M20</f>
        <v>-560</v>
      </c>
      <c r="P20" s="13">
        <f t="shared" si="8"/>
        <v>560</v>
      </c>
      <c r="Q20" s="13">
        <f>SUMIFS(Transactions!$E:$E,Transactions!$C:$C,$B20,Transactions!$B:$B,"Expense",Transactions!$I:$I,5)</f>
        <v>0</v>
      </c>
      <c r="R20" s="13">
        <f t="shared" ref="R20:R21" si="28">Q20-P20</f>
        <v>-560</v>
      </c>
      <c r="S20" s="13">
        <f t="shared" si="10"/>
        <v>560</v>
      </c>
      <c r="T20" s="13">
        <f>SUMIFS(Transactions!$E:$E,Transactions!$C:$C,$B20,Transactions!$B:$B,"Expense",Transactions!$I:$I,6)</f>
        <v>0</v>
      </c>
      <c r="U20" s="13">
        <f t="shared" ref="U20:U21" si="29">T20-S20</f>
        <v>-560</v>
      </c>
      <c r="V20" s="13">
        <f t="shared" si="12"/>
        <v>560</v>
      </c>
      <c r="W20" s="13">
        <f>SUMIFS(Transactions!$E:$E,Transactions!$C:$C,$B20,Transactions!$B:$B,"Expense",Transactions!$I:$I,7)</f>
        <v>0</v>
      </c>
      <c r="X20" s="13">
        <f t="shared" ref="X20:X21" si="30">W20-V20</f>
        <v>-560</v>
      </c>
      <c r="Y20" s="13">
        <f t="shared" si="14"/>
        <v>560</v>
      </c>
      <c r="Z20" s="13">
        <f>SUMIFS(Transactions!$E:$E,Transactions!$C:$C,$B20,Transactions!$B:$B,"Expense",Transactions!$I:$I,8)</f>
        <v>0</v>
      </c>
      <c r="AA20" s="13">
        <f t="shared" ref="AA20:AA21" si="31">Z20-Y20</f>
        <v>-560</v>
      </c>
      <c r="AB20" s="13">
        <f t="shared" si="16"/>
        <v>560</v>
      </c>
      <c r="AC20" s="13">
        <f>SUMIFS(Transactions!$E:$E,Transactions!$C:$C,$B20,Transactions!$B:$B,"Expense",Transactions!$I:$I,9)</f>
        <v>0</v>
      </c>
      <c r="AD20" s="13">
        <f t="shared" ref="AD20:AD21" si="32">AC20-AB20</f>
        <v>-560</v>
      </c>
      <c r="AE20" s="13">
        <f t="shared" si="18"/>
        <v>560</v>
      </c>
      <c r="AF20" s="13">
        <f>SUMIFS(Transactions!$E:$E,Transactions!$C:$C,$B20,Transactions!$B:$B,"Expense",Transactions!$I:$I,10)</f>
        <v>0</v>
      </c>
      <c r="AG20" s="13">
        <f t="shared" ref="AG20:AG21" si="33">AF20-AE20</f>
        <v>-560</v>
      </c>
      <c r="AH20" s="13">
        <f t="shared" si="20"/>
        <v>560</v>
      </c>
      <c r="AI20" s="13">
        <f>SUMIFS(Transactions!$E:$E,Transactions!$C:$C,$B20,Transactions!$B:$B,"Expense",Transactions!$I:$I,11)</f>
        <v>0</v>
      </c>
      <c r="AJ20" s="13">
        <f t="shared" ref="AJ20:AJ21" si="34">AI20-AH20</f>
        <v>-560</v>
      </c>
      <c r="AK20" s="13">
        <f t="shared" si="22"/>
        <v>560</v>
      </c>
      <c r="AL20" s="13">
        <f>SUMIFS(Transactions!$E:$E,Transactions!$C:$C,$B20,Transactions!$B:$B,"Expense",Transactions!$I:$I,12)</f>
        <v>0</v>
      </c>
      <c r="AM20" s="13">
        <f t="shared" ref="AM20:AM21" si="35">AL20-AK20</f>
        <v>-560</v>
      </c>
    </row>
    <row r="21" spans="1:39" s="91" customFormat="1" x14ac:dyDescent="0.3">
      <c r="A21" s="15" t="s">
        <v>23</v>
      </c>
      <c r="B21" s="16" t="s">
        <v>238</v>
      </c>
      <c r="C21" s="13">
        <v>43</v>
      </c>
      <c r="D21" s="13">
        <f t="shared" si="0"/>
        <v>43</v>
      </c>
      <c r="E21" s="13">
        <f>SUMIFS(Transactions!$E:$E,Transactions!$C:$C,$B21,Transactions!$B:$B,"Expense",Transactions!$I:$I,1)</f>
        <v>43</v>
      </c>
      <c r="F21" s="13">
        <f t="shared" si="24"/>
        <v>0</v>
      </c>
      <c r="G21" s="13">
        <f t="shared" si="2"/>
        <v>43</v>
      </c>
      <c r="H21" s="13">
        <f>SUMIFS(Transactions!$E:$E,Transactions!$C:$C,$B21,Transactions!$B:$B,"Expense",Transactions!$I:$I,2)</f>
        <v>0</v>
      </c>
      <c r="I21" s="13">
        <f t="shared" si="25"/>
        <v>-43</v>
      </c>
      <c r="J21" s="13">
        <f t="shared" si="4"/>
        <v>43</v>
      </c>
      <c r="K21" s="13">
        <f>SUMIFS(Transactions!$E:$E,Transactions!$C:$C,$B21,Transactions!$B:$B,"Expense",Transactions!$I:$I,3)</f>
        <v>0</v>
      </c>
      <c r="L21" s="13">
        <f t="shared" si="26"/>
        <v>-43</v>
      </c>
      <c r="M21" s="13">
        <f t="shared" si="6"/>
        <v>43</v>
      </c>
      <c r="N21" s="13">
        <f>SUMIFS(Transactions!$E:$E,Transactions!$C:$C,$B21,Transactions!$B:$B,"Expense",Transactions!$I:$I,4)</f>
        <v>0</v>
      </c>
      <c r="O21" s="13">
        <f t="shared" si="27"/>
        <v>-43</v>
      </c>
      <c r="P21" s="13">
        <f t="shared" si="8"/>
        <v>43</v>
      </c>
      <c r="Q21" s="13">
        <f>SUMIFS(Transactions!$E:$E,Transactions!$C:$C,$B21,Transactions!$B:$B,"Expense",Transactions!$I:$I,5)</f>
        <v>0</v>
      </c>
      <c r="R21" s="13">
        <f t="shared" si="28"/>
        <v>-43</v>
      </c>
      <c r="S21" s="13">
        <f t="shared" si="10"/>
        <v>43</v>
      </c>
      <c r="T21" s="13">
        <f>SUMIFS(Transactions!$E:$E,Transactions!$C:$C,$B21,Transactions!$B:$B,"Expense",Transactions!$I:$I,6)</f>
        <v>0</v>
      </c>
      <c r="U21" s="13">
        <f t="shared" si="29"/>
        <v>-43</v>
      </c>
      <c r="V21" s="13">
        <f t="shared" si="12"/>
        <v>43</v>
      </c>
      <c r="W21" s="13">
        <f>SUMIFS(Transactions!$E:$E,Transactions!$C:$C,$B21,Transactions!$B:$B,"Expense",Transactions!$I:$I,7)</f>
        <v>0</v>
      </c>
      <c r="X21" s="13">
        <f t="shared" si="30"/>
        <v>-43</v>
      </c>
      <c r="Y21" s="13">
        <f t="shared" si="14"/>
        <v>43</v>
      </c>
      <c r="Z21" s="13">
        <f>SUMIFS(Transactions!$E:$E,Transactions!$C:$C,$B21,Transactions!$B:$B,"Expense",Transactions!$I:$I,8)</f>
        <v>0</v>
      </c>
      <c r="AA21" s="13">
        <f t="shared" si="31"/>
        <v>-43</v>
      </c>
      <c r="AB21" s="13">
        <f t="shared" si="16"/>
        <v>43</v>
      </c>
      <c r="AC21" s="13">
        <f>SUMIFS(Transactions!$E:$E,Transactions!$C:$C,$B21,Transactions!$B:$B,"Expense",Transactions!$I:$I,9)</f>
        <v>0</v>
      </c>
      <c r="AD21" s="13">
        <f t="shared" si="32"/>
        <v>-43</v>
      </c>
      <c r="AE21" s="13">
        <f t="shared" si="18"/>
        <v>43</v>
      </c>
      <c r="AF21" s="13">
        <f>SUMIFS(Transactions!$E:$E,Transactions!$C:$C,$B21,Transactions!$B:$B,"Expense",Transactions!$I:$I,10)</f>
        <v>0</v>
      </c>
      <c r="AG21" s="13">
        <f t="shared" si="33"/>
        <v>-43</v>
      </c>
      <c r="AH21" s="13">
        <f t="shared" si="20"/>
        <v>43</v>
      </c>
      <c r="AI21" s="13">
        <f>SUMIFS(Transactions!$E:$E,Transactions!$C:$C,$B21,Transactions!$B:$B,"Expense",Transactions!$I:$I,11)</f>
        <v>0</v>
      </c>
      <c r="AJ21" s="13">
        <f t="shared" si="34"/>
        <v>-43</v>
      </c>
      <c r="AK21" s="13">
        <f t="shared" si="22"/>
        <v>43</v>
      </c>
      <c r="AL21" s="13">
        <f>SUMIFS(Transactions!$E:$E,Transactions!$C:$C,$B21,Transactions!$B:$B,"Expense",Transactions!$I:$I,12)</f>
        <v>0</v>
      </c>
      <c r="AM21" s="13">
        <f t="shared" si="35"/>
        <v>-43</v>
      </c>
    </row>
    <row r="22" spans="1:39" s="91" customFormat="1" x14ac:dyDescent="0.3">
      <c r="A22" s="15" t="s">
        <v>23</v>
      </c>
      <c r="B22" s="16" t="s">
        <v>39</v>
      </c>
      <c r="C22" s="13">
        <v>500</v>
      </c>
      <c r="D22" s="13">
        <f t="shared" si="0"/>
        <v>500</v>
      </c>
      <c r="E22" s="13">
        <f>SUMIFS(Transactions!$E:$E,Transactions!$C:$C,$B22,Transactions!$B:$B,"Expense",Transactions!$I:$I,1)</f>
        <v>457.37</v>
      </c>
      <c r="F22" s="13">
        <f t="shared" ref="F22" si="36">E22-D22</f>
        <v>-42.629999999999995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x14ac:dyDescent="0.3">
      <c r="A23" s="15" t="s">
        <v>33</v>
      </c>
      <c r="B23" s="16" t="s">
        <v>34</v>
      </c>
      <c r="C23" s="13">
        <v>150</v>
      </c>
      <c r="D23" s="13">
        <f t="shared" si="0"/>
        <v>150</v>
      </c>
      <c r="E23" s="13">
        <f>SUMIFS(Transactions!$E:$E,Transactions!$C:$C,$B23,Transactions!$B:$B,"Expense",Transactions!$I:$I,1)</f>
        <v>0</v>
      </c>
      <c r="F23" s="13">
        <f t="shared" si="1"/>
        <v>-150</v>
      </c>
      <c r="G23" s="13">
        <f t="shared" si="2"/>
        <v>150</v>
      </c>
      <c r="H23" s="13">
        <f>SUMIFS(Transactions!$E:$E,Transactions!$C:$C,$B23,Transactions!$B:$B,"Expense",Transactions!$I:$I,2)</f>
        <v>0</v>
      </c>
      <c r="I23" s="13">
        <f t="shared" si="3"/>
        <v>-150</v>
      </c>
      <c r="J23" s="13">
        <f t="shared" si="4"/>
        <v>150</v>
      </c>
      <c r="K23" s="13">
        <f>SUMIFS(Transactions!$E:$E,Transactions!$C:$C,$B23,Transactions!$B:$B,"Expense",Transactions!$I:$I,3)</f>
        <v>0</v>
      </c>
      <c r="L23" s="13">
        <f t="shared" si="5"/>
        <v>-150</v>
      </c>
      <c r="M23" s="13">
        <f t="shared" si="6"/>
        <v>150</v>
      </c>
      <c r="N23" s="13">
        <f>SUMIFS(Transactions!$E:$E,Transactions!$C:$C,$B23,Transactions!$B:$B,"Expense",Transactions!$I:$I,4)</f>
        <v>0</v>
      </c>
      <c r="O23" s="13">
        <f t="shared" si="7"/>
        <v>-150</v>
      </c>
      <c r="P23" s="13">
        <f t="shared" si="8"/>
        <v>150</v>
      </c>
      <c r="Q23" s="13">
        <f>SUMIFS(Transactions!$E:$E,Transactions!$C:$C,$B23,Transactions!$B:$B,"Expense",Transactions!$I:$I,5)</f>
        <v>0</v>
      </c>
      <c r="R23" s="13">
        <f t="shared" si="9"/>
        <v>-150</v>
      </c>
      <c r="S23" s="13">
        <f t="shared" si="10"/>
        <v>150</v>
      </c>
      <c r="T23" s="13">
        <f>SUMIFS(Transactions!$E:$E,Transactions!$C:$C,$B23,Transactions!$B:$B,"Expense",Transactions!$I:$I,6)</f>
        <v>0</v>
      </c>
      <c r="U23" s="13">
        <f t="shared" si="11"/>
        <v>-150</v>
      </c>
      <c r="V23" s="13">
        <f t="shared" si="12"/>
        <v>150</v>
      </c>
      <c r="W23" s="13">
        <f>SUMIFS(Transactions!$E:$E,Transactions!$C:$C,$B23,Transactions!$B:$B,"Expense",Transactions!$I:$I,7)</f>
        <v>0</v>
      </c>
      <c r="X23" s="13">
        <f t="shared" si="13"/>
        <v>-150</v>
      </c>
      <c r="Y23" s="13">
        <f t="shared" si="14"/>
        <v>150</v>
      </c>
      <c r="Z23" s="13">
        <f>SUMIFS(Transactions!$E:$E,Transactions!$C:$C,$B23,Transactions!$B:$B,"Expense",Transactions!$I:$I,8)</f>
        <v>0</v>
      </c>
      <c r="AA23" s="13">
        <f t="shared" si="15"/>
        <v>-150</v>
      </c>
      <c r="AB23" s="13">
        <f t="shared" si="16"/>
        <v>150</v>
      </c>
      <c r="AC23" s="13">
        <f>SUMIFS(Transactions!$E:$E,Transactions!$C:$C,$B23,Transactions!$B:$B,"Expense",Transactions!$I:$I,9)</f>
        <v>0</v>
      </c>
      <c r="AD23" s="13">
        <f t="shared" si="17"/>
        <v>-150</v>
      </c>
      <c r="AE23" s="13">
        <f t="shared" si="18"/>
        <v>150</v>
      </c>
      <c r="AF23" s="13">
        <f>SUMIFS(Transactions!$E:$E,Transactions!$C:$C,$B23,Transactions!$B:$B,"Expense",Transactions!$I:$I,10)</f>
        <v>0</v>
      </c>
      <c r="AG23" s="13">
        <f t="shared" si="19"/>
        <v>-150</v>
      </c>
      <c r="AH23" s="13">
        <f t="shared" si="20"/>
        <v>150</v>
      </c>
      <c r="AI23" s="13">
        <f>SUMIFS(Transactions!$E:$E,Transactions!$C:$C,$B23,Transactions!$B:$B,"Expense",Transactions!$I:$I,11)</f>
        <v>0</v>
      </c>
      <c r="AJ23" s="13">
        <f t="shared" si="21"/>
        <v>-150</v>
      </c>
      <c r="AK23" s="13">
        <f t="shared" si="22"/>
        <v>150</v>
      </c>
      <c r="AL23" s="13">
        <f>SUMIFS(Transactions!$E:$E,Transactions!$C:$C,$B23,Transactions!$B:$B,"Expense",Transactions!$I:$I,12)</f>
        <v>0</v>
      </c>
      <c r="AM23" s="13">
        <f t="shared" si="23"/>
        <v>-150</v>
      </c>
    </row>
    <row r="24" spans="1:39" x14ac:dyDescent="0.3">
      <c r="A24" s="15" t="s">
        <v>33</v>
      </c>
      <c r="B24" s="16" t="s">
        <v>35</v>
      </c>
      <c r="C24" s="13">
        <v>150</v>
      </c>
      <c r="D24" s="13">
        <f t="shared" si="0"/>
        <v>150</v>
      </c>
      <c r="E24" s="13">
        <f>SUMIFS(Transactions!$E:$E,Transactions!$C:$C,$B24,Transactions!$B:$B,"Expense",Transactions!$I:$I,1)</f>
        <v>0</v>
      </c>
      <c r="F24" s="13">
        <f t="shared" si="1"/>
        <v>-150</v>
      </c>
      <c r="G24" s="13">
        <f t="shared" si="2"/>
        <v>150</v>
      </c>
      <c r="H24" s="13">
        <f>SUMIFS(Transactions!$E:$E,Transactions!$C:$C,$B24,Transactions!$B:$B,"Expense",Transactions!$I:$I,2)</f>
        <v>0</v>
      </c>
      <c r="I24" s="13">
        <f t="shared" si="3"/>
        <v>-150</v>
      </c>
      <c r="J24" s="13">
        <f t="shared" si="4"/>
        <v>150</v>
      </c>
      <c r="K24" s="13">
        <f>SUMIFS(Transactions!$E:$E,Transactions!$C:$C,$B24,Transactions!$B:$B,"Expense",Transactions!$I:$I,3)</f>
        <v>0</v>
      </c>
      <c r="L24" s="13">
        <f t="shared" si="5"/>
        <v>-150</v>
      </c>
      <c r="M24" s="13">
        <f t="shared" si="6"/>
        <v>150</v>
      </c>
      <c r="N24" s="13">
        <f>SUMIFS(Transactions!$E:$E,Transactions!$C:$C,$B24,Transactions!$B:$B,"Expense",Transactions!$I:$I,4)</f>
        <v>0</v>
      </c>
      <c r="O24" s="13">
        <f t="shared" si="7"/>
        <v>-150</v>
      </c>
      <c r="P24" s="13">
        <f t="shared" si="8"/>
        <v>150</v>
      </c>
      <c r="Q24" s="13">
        <f>SUMIFS(Transactions!$E:$E,Transactions!$C:$C,$B24,Transactions!$B:$B,"Expense",Transactions!$I:$I,5)</f>
        <v>0</v>
      </c>
      <c r="R24" s="13">
        <f t="shared" si="9"/>
        <v>-150</v>
      </c>
      <c r="S24" s="13">
        <f t="shared" si="10"/>
        <v>150</v>
      </c>
      <c r="T24" s="13">
        <f>SUMIFS(Transactions!$E:$E,Transactions!$C:$C,$B24,Transactions!$B:$B,"Expense",Transactions!$I:$I,6)</f>
        <v>0</v>
      </c>
      <c r="U24" s="13">
        <f t="shared" si="11"/>
        <v>-150</v>
      </c>
      <c r="V24" s="13">
        <f t="shared" si="12"/>
        <v>150</v>
      </c>
      <c r="W24" s="13">
        <f>SUMIFS(Transactions!$E:$E,Transactions!$C:$C,$B24,Transactions!$B:$B,"Expense",Transactions!$I:$I,7)</f>
        <v>0</v>
      </c>
      <c r="X24" s="13">
        <f t="shared" si="13"/>
        <v>-150</v>
      </c>
      <c r="Y24" s="13">
        <f t="shared" si="14"/>
        <v>150</v>
      </c>
      <c r="Z24" s="13">
        <f>SUMIFS(Transactions!$E:$E,Transactions!$C:$C,$B24,Transactions!$B:$B,"Expense",Transactions!$I:$I,8)</f>
        <v>0</v>
      </c>
      <c r="AA24" s="13">
        <f t="shared" si="15"/>
        <v>-150</v>
      </c>
      <c r="AB24" s="13">
        <f t="shared" si="16"/>
        <v>150</v>
      </c>
      <c r="AC24" s="13">
        <f>SUMIFS(Transactions!$E:$E,Transactions!$C:$C,$B24,Transactions!$B:$B,"Expense",Transactions!$I:$I,9)</f>
        <v>0</v>
      </c>
      <c r="AD24" s="13">
        <f t="shared" si="17"/>
        <v>-150</v>
      </c>
      <c r="AE24" s="13">
        <f t="shared" si="18"/>
        <v>150</v>
      </c>
      <c r="AF24" s="13">
        <f>SUMIFS(Transactions!$E:$E,Transactions!$C:$C,$B24,Transactions!$B:$B,"Expense",Transactions!$I:$I,10)</f>
        <v>0</v>
      </c>
      <c r="AG24" s="13">
        <f t="shared" si="19"/>
        <v>-150</v>
      </c>
      <c r="AH24" s="13">
        <f t="shared" si="20"/>
        <v>150</v>
      </c>
      <c r="AI24" s="13">
        <f>SUMIFS(Transactions!$E:$E,Transactions!$C:$C,$B24,Transactions!$B:$B,"Expense",Transactions!$I:$I,11)</f>
        <v>0</v>
      </c>
      <c r="AJ24" s="13">
        <f t="shared" si="21"/>
        <v>-150</v>
      </c>
      <c r="AK24" s="13">
        <f t="shared" si="22"/>
        <v>150</v>
      </c>
      <c r="AL24" s="13">
        <f>SUMIFS(Transactions!$E:$E,Transactions!$C:$C,$B24,Transactions!$B:$B,"Expense",Transactions!$I:$I,12)</f>
        <v>0</v>
      </c>
      <c r="AM24" s="13">
        <f t="shared" si="23"/>
        <v>-150</v>
      </c>
    </row>
    <row r="25" spans="1:39" x14ac:dyDescent="0.3">
      <c r="A25" s="15" t="s">
        <v>36</v>
      </c>
      <c r="B25" s="16" t="s">
        <v>37</v>
      </c>
      <c r="C25" s="13">
        <v>1050</v>
      </c>
      <c r="D25" s="13">
        <f t="shared" si="0"/>
        <v>1050</v>
      </c>
      <c r="E25" s="13">
        <f>SUMIFS(Transactions!$E:$E,Transactions!$C:$C,$B25,Transactions!$B:$B,"Transfer",Transactions!$I:$I,1)</f>
        <v>0</v>
      </c>
      <c r="F25" s="13">
        <f t="shared" si="1"/>
        <v>-1050</v>
      </c>
      <c r="G25" s="13">
        <f t="shared" si="2"/>
        <v>1050</v>
      </c>
      <c r="H25" s="13">
        <f>SUMIFS(Transactions!$E:$E,Transactions!$C:$C,$B25,Transactions!$B:$B,"Transfer",Transactions!$I:$I,2)</f>
        <v>0</v>
      </c>
      <c r="I25" s="13">
        <f t="shared" si="3"/>
        <v>-1050</v>
      </c>
      <c r="J25" s="13">
        <f t="shared" si="4"/>
        <v>1050</v>
      </c>
      <c r="K25" s="13">
        <f>SUMIFS(Transactions!$E:$E,Transactions!$C:$C,$B25,Transactions!$B:$B,"Transfer",Transactions!$I:$I,3)</f>
        <v>0</v>
      </c>
      <c r="L25" s="13">
        <f t="shared" si="5"/>
        <v>-1050</v>
      </c>
      <c r="M25" s="13">
        <f t="shared" si="6"/>
        <v>1050</v>
      </c>
      <c r="N25" s="13">
        <f>SUMIFS(Transactions!$E:$E,Transactions!$C:$C,$B25,Transactions!$B:$B,"Transfer",Transactions!$I:$I,4)</f>
        <v>0</v>
      </c>
      <c r="O25" s="13">
        <f t="shared" si="7"/>
        <v>-1050</v>
      </c>
      <c r="P25" s="13">
        <f t="shared" si="8"/>
        <v>1050</v>
      </c>
      <c r="Q25" s="13">
        <f>SUMIFS(Transactions!$E:$E,Transactions!$C:$C,$B25,Transactions!$B:$B,"Transfer",Transactions!$I:$I,5)</f>
        <v>0</v>
      </c>
      <c r="R25" s="13">
        <f t="shared" si="9"/>
        <v>-1050</v>
      </c>
      <c r="S25" s="13">
        <f t="shared" si="10"/>
        <v>1050</v>
      </c>
      <c r="T25" s="13">
        <f>SUMIFS(Transactions!$E:$E,Transactions!$C:$C,$B25,Transactions!$B:$B,"Transfer",Transactions!$I:$I,6)</f>
        <v>0</v>
      </c>
      <c r="U25" s="13">
        <f t="shared" si="11"/>
        <v>-1050</v>
      </c>
      <c r="V25" s="13">
        <f t="shared" si="12"/>
        <v>1050</v>
      </c>
      <c r="W25" s="13">
        <f>SUMIFS(Transactions!$E:$E,Transactions!$C:$C,$B25,Transactions!$B:$B,"Transfer",Transactions!$I:$I,7)</f>
        <v>0</v>
      </c>
      <c r="X25" s="13">
        <f t="shared" si="13"/>
        <v>-1050</v>
      </c>
      <c r="Y25" s="13">
        <f t="shared" si="14"/>
        <v>1050</v>
      </c>
      <c r="Z25" s="13">
        <f>SUMIFS(Transactions!$E:$E,Transactions!$C:$C,$B25,Transactions!$B:$B,"Transfer",Transactions!$I:$I,8)</f>
        <v>0</v>
      </c>
      <c r="AA25" s="13">
        <f t="shared" si="15"/>
        <v>-1050</v>
      </c>
      <c r="AB25" s="13">
        <f t="shared" si="16"/>
        <v>1050</v>
      </c>
      <c r="AC25" s="13">
        <f>SUMIFS(Transactions!$E:$E,Transactions!$C:$C,$B25,Transactions!$B:$B,"Transfer",Transactions!$I:$I,9)</f>
        <v>0</v>
      </c>
      <c r="AD25" s="13">
        <f t="shared" si="17"/>
        <v>-1050</v>
      </c>
      <c r="AE25" s="13">
        <f t="shared" si="18"/>
        <v>1050</v>
      </c>
      <c r="AF25" s="13">
        <f>SUMIFS(Transactions!$E:$E,Transactions!$C:$C,$B25,Transactions!$B:$B,"Transfer",Transactions!$I:$I,10)</f>
        <v>0</v>
      </c>
      <c r="AG25" s="13">
        <f t="shared" si="19"/>
        <v>-1050</v>
      </c>
      <c r="AH25" s="13">
        <f t="shared" si="20"/>
        <v>1050</v>
      </c>
      <c r="AI25" s="13">
        <f>SUMIFS(Transactions!$E:$E,Transactions!$C:$C,$B25,Transactions!$B:$B,"Transfer",Transactions!$I:$I,11)</f>
        <v>0</v>
      </c>
      <c r="AJ25" s="13">
        <f t="shared" si="21"/>
        <v>-1050</v>
      </c>
      <c r="AK25" s="13">
        <f t="shared" si="22"/>
        <v>1050</v>
      </c>
      <c r="AL25" s="13">
        <f>SUMIFS(Transactions!$E:$E,Transactions!$C:$C,$B25,Transactions!$B:$B,"Transfer",Transactions!$I:$I,12)</f>
        <v>0</v>
      </c>
      <c r="AM25" s="13">
        <f t="shared" si="23"/>
        <v>-1050</v>
      </c>
    </row>
    <row r="27" spans="1:39" x14ac:dyDescent="0.3">
      <c r="E27" s="94"/>
    </row>
    <row r="28" spans="1:39" x14ac:dyDescent="0.3">
      <c r="E28" s="93"/>
      <c r="Q28" s="92"/>
      <c r="R28" s="92"/>
    </row>
    <row r="29" spans="1:39" x14ac:dyDescent="0.3">
      <c r="C29" s="92"/>
      <c r="E29" s="93"/>
      <c r="F29" s="93"/>
      <c r="P29" s="92"/>
    </row>
    <row r="30" spans="1:39" x14ac:dyDescent="0.3">
      <c r="P30" s="9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T80"/>
  <sheetViews>
    <sheetView zoomScale="73" zoomScaleNormal="90" workbookViewId="0">
      <pane ySplit="17" topLeftCell="A18" activePane="bottomLeft" state="frozen"/>
      <selection pane="bottomLeft" activeCell="J16" sqref="J16"/>
    </sheetView>
  </sheetViews>
  <sheetFormatPr defaultRowHeight="14.4" x14ac:dyDescent="0.3"/>
  <cols>
    <col min="1" max="1" width="16" customWidth="1"/>
    <col min="2" max="2" width="14" customWidth="1"/>
    <col min="3" max="3" width="30" customWidth="1"/>
    <col min="4" max="20" width="14" customWidth="1"/>
  </cols>
  <sheetData>
    <row r="1" spans="1:20" ht="37.200000000000003" customHeight="1" x14ac:dyDescent="0.3">
      <c r="A1" s="18" t="s">
        <v>134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4" customHeight="1" x14ac:dyDescent="0.3">
      <c r="A2" s="20" t="s">
        <v>135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8.8" customHeight="1" x14ac:dyDescent="0.3">
      <c r="A3" s="19" t="s">
        <v>136</v>
      </c>
      <c r="B3" s="21">
        <f>Setup!B4 + (Setup!B5*2) + (Setup!B6*4)</f>
        <v>4700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43.2" customHeight="1" x14ac:dyDescent="0.3">
      <c r="A4" s="29" t="s">
        <v>137</v>
      </c>
      <c r="B4" s="84">
        <v>1</v>
      </c>
      <c r="C4" s="30" t="s">
        <v>138</v>
      </c>
      <c r="D4" s="45" t="s">
        <v>139</v>
      </c>
      <c r="E4" s="46">
        <v>46020</v>
      </c>
      <c r="F4" s="30" t="s">
        <v>140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x14ac:dyDescent="0.3">
      <c r="A5" s="31">
        <f>SUMIF('Budget by Period'!$A:$A,"INCOME",'Budget by Period'!$C:$C)</f>
        <v>4700</v>
      </c>
      <c r="B5" s="21">
        <f>Setup!B11</f>
        <v>1050</v>
      </c>
      <c r="C5" s="19"/>
      <c r="D5" s="31">
        <f>SUMIFS('Budget by Period'!$C:$C,'Budget by Period'!$A:$A,"&lt;&gt;INCOME",'Budget by Period'!$A:$A,"&lt;&gt;SAVINGS")</f>
        <v>4055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41.4" customHeight="1" x14ac:dyDescent="0.3">
      <c r="A6" s="22" t="s">
        <v>141</v>
      </c>
      <c r="B6" s="23">
        <f>B3-B4-B5</f>
        <v>3649</v>
      </c>
      <c r="C6" s="24"/>
      <c r="D6" s="19"/>
      <c r="E6" s="22" t="s">
        <v>142</v>
      </c>
      <c r="F6" s="24"/>
      <c r="G6" s="24"/>
      <c r="H6" s="19"/>
      <c r="I6" s="22" t="s">
        <v>143</v>
      </c>
      <c r="J6" s="24"/>
      <c r="K6" s="24"/>
      <c r="L6" s="19"/>
      <c r="M6" s="22" t="s">
        <v>144</v>
      </c>
      <c r="N6" s="24"/>
      <c r="O6" s="24"/>
      <c r="P6" s="19"/>
      <c r="Q6" s="19"/>
      <c r="R6" s="19"/>
      <c r="S6" s="19"/>
      <c r="T6" s="19"/>
    </row>
    <row r="7" spans="1:20" ht="43.2" customHeight="1" x14ac:dyDescent="0.3">
      <c r="A7" s="32">
        <f>INDEX($B$64:$B$75,$B$4)</f>
        <v>3811.48</v>
      </c>
      <c r="B7" s="24"/>
      <c r="C7" s="24"/>
      <c r="D7" s="19" t="s">
        <v>145</v>
      </c>
      <c r="E7" s="32">
        <f>INDEX($C$64:$C$75,$B$4)</f>
        <v>2179.9800000000005</v>
      </c>
      <c r="F7" s="24"/>
      <c r="G7" s="24"/>
      <c r="H7" s="19"/>
      <c r="I7" s="32">
        <f>INDEX($D$64:$D$75,$B$4)</f>
        <v>0</v>
      </c>
      <c r="J7" s="24"/>
      <c r="K7" s="24"/>
      <c r="L7" s="19"/>
      <c r="M7" s="32">
        <f>INDEX($E$64:$E$75,$B$4)</f>
        <v>1631.4999999999995</v>
      </c>
      <c r="N7" s="24"/>
      <c r="O7" s="24"/>
      <c r="P7" s="19"/>
      <c r="Q7" s="19"/>
      <c r="R7" s="19"/>
      <c r="S7" s="19"/>
      <c r="T7" s="19"/>
    </row>
    <row r="8" spans="1:20" x14ac:dyDescent="0.3">
      <c r="A8" s="33">
        <f>Setup!B11</f>
        <v>1050</v>
      </c>
      <c r="B8" s="24"/>
      <c r="C8" s="24"/>
      <c r="D8" s="31">
        <f>B5-B6-B7</f>
        <v>-2599</v>
      </c>
      <c r="E8" s="34"/>
      <c r="F8" s="24"/>
      <c r="G8" s="24"/>
      <c r="H8" s="19"/>
      <c r="I8" s="34"/>
      <c r="J8" s="24"/>
      <c r="K8" s="24"/>
      <c r="L8" s="19"/>
      <c r="M8" s="34"/>
      <c r="N8" s="24"/>
      <c r="O8" s="24"/>
      <c r="P8" s="19"/>
      <c r="Q8" s="19"/>
      <c r="R8" s="19"/>
      <c r="S8" s="19"/>
      <c r="T8" s="19"/>
    </row>
    <row r="9" spans="1:20" ht="28.8" customHeight="1" x14ac:dyDescent="0.3">
      <c r="A9" s="19" t="s">
        <v>65</v>
      </c>
      <c r="B9" s="19" t="s">
        <v>67</v>
      </c>
      <c r="C9" s="19" t="s">
        <v>68</v>
      </c>
      <c r="D9" s="19" t="s">
        <v>146</v>
      </c>
      <c r="E9" s="19" t="s">
        <v>147</v>
      </c>
      <c r="F9" s="19" t="s">
        <v>148</v>
      </c>
      <c r="G9" s="19" t="s">
        <v>149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31.2" customHeight="1" x14ac:dyDescent="0.3">
      <c r="A10" s="35" t="s">
        <v>150</v>
      </c>
      <c r="B10" s="25">
        <f>INDEX('Periods 26-25'!$C:$C, MATCH($B$4, 'Periods 26-25'!$A:$A, 0))</f>
        <v>46013</v>
      </c>
      <c r="C10" s="25">
        <f>INDEX('Periods 26-25'!$D:$D, MATCH($B$4, 'Periods 26-25'!$A:$A, 0))</f>
        <v>46047</v>
      </c>
      <c r="D10" s="21">
        <f>SUMIF('Budget by Period'!$A:$A,"INCOME",'Budget by Period'!$E:$E)</f>
        <v>3811.48</v>
      </c>
      <c r="E10" s="21">
        <f>SUM('Bills Schedule'!$C$3:$C$200)</f>
        <v>4715</v>
      </c>
      <c r="F10" s="21">
        <f>SUMIF('Budget by Period'!$A:$A,"SAVINGS",'Budget by Period'!$E:$E)</f>
        <v>0</v>
      </c>
      <c r="G10" s="21">
        <f>D10-E10-F10</f>
        <v>-903.52</v>
      </c>
      <c r="H10" s="19"/>
      <c r="I10" s="19"/>
      <c r="J10" s="19"/>
      <c r="K10" s="21">
        <f>Setup!B11</f>
        <v>1050</v>
      </c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41.4" customHeight="1" x14ac:dyDescent="0.3">
      <c r="A11" s="22" t="s">
        <v>151</v>
      </c>
      <c r="B11" s="36" t="s">
        <v>67</v>
      </c>
      <c r="C11" s="36" t="s">
        <v>68</v>
      </c>
      <c r="D11" s="21" t="s">
        <v>146</v>
      </c>
      <c r="E11" s="37" t="s">
        <v>152</v>
      </c>
      <c r="F11" s="23" t="s">
        <v>148</v>
      </c>
      <c r="G11" s="23" t="s">
        <v>149</v>
      </c>
      <c r="H11" s="19"/>
      <c r="I11" s="22" t="s">
        <v>153</v>
      </c>
      <c r="J11" s="24"/>
      <c r="K11" s="24"/>
      <c r="L11" s="19"/>
      <c r="M11" s="22" t="s">
        <v>154</v>
      </c>
      <c r="N11" s="24"/>
      <c r="O11" s="24"/>
      <c r="P11" s="19"/>
      <c r="Q11" s="19"/>
      <c r="R11" s="19"/>
      <c r="S11" s="19"/>
      <c r="T11" s="19"/>
    </row>
    <row r="12" spans="1:20" ht="23.4" customHeight="1" x14ac:dyDescent="0.3">
      <c r="A12" s="32">
        <f>SUMIF('Budget by Period'!$A:$A,"INCOME",'Budget by Period'!$C:$C)</f>
        <v>4700</v>
      </c>
      <c r="B12" s="36">
        <v>46079</v>
      </c>
      <c r="C12" s="36">
        <v>46106</v>
      </c>
      <c r="D12" s="21">
        <f>SUMIF('Budget by Period'!$A:$A,"INCOME",'Budget by Period'!$K:$K)</f>
        <v>0</v>
      </c>
      <c r="E12" s="32">
        <f>SUMIFS('Budget by Period'!$C:$C,'Budget by Period'!$A:$A,"&lt;&gt;INCOME",'Budget by Period'!$A:$A,"&lt;&gt;SAVINGS")</f>
        <v>4055</v>
      </c>
      <c r="F12" s="23">
        <f>SUMIF('Budget by Period'!$A:$A,"SAVINGS",'Budget by Period'!$K:$K)</f>
        <v>0</v>
      </c>
      <c r="G12" s="23">
        <f>D12-E12-F12</f>
        <v>-4055</v>
      </c>
      <c r="H12" s="19"/>
      <c r="I12" s="32">
        <f>Setup!B11</f>
        <v>1050</v>
      </c>
      <c r="J12" s="24"/>
      <c r="K12" s="24"/>
      <c r="L12" s="19"/>
      <c r="M12" s="32">
        <f>SUMIF('Budget by Period'!$A:$A,"INCOME",'Budget by Period'!$C:$C)-SUMIFS('Budget by Period'!$C:$C,'Budget by Period'!$A:$A,"&lt;&gt;INCOME",'Budget by Period'!$A:$A,"&lt;&gt;SAVINGS")-Setup!B11</f>
        <v>-405</v>
      </c>
      <c r="N12" s="24"/>
      <c r="O12" s="24"/>
      <c r="P12" s="19"/>
      <c r="Q12" s="19"/>
      <c r="R12" s="19"/>
      <c r="S12" s="19"/>
      <c r="T12" s="19"/>
    </row>
    <row r="13" spans="1:20" x14ac:dyDescent="0.3">
      <c r="A13" s="34" t="s">
        <v>155</v>
      </c>
      <c r="B13" s="36">
        <v>46107</v>
      </c>
      <c r="C13" s="36">
        <v>46137</v>
      </c>
      <c r="D13" s="21">
        <f>SUMIF('Budget by Period'!$A:$A,"INCOME",'Budget by Period'!$N:$N)</f>
        <v>0</v>
      </c>
      <c r="E13" s="38">
        <f>SUMIFS('Budget by Period'!$N:$N,'Budget by Period'!$A:$A,"&lt;&gt;INCOME",'Budget by Period'!$A:$A,"&lt;&gt;SAVINGS")</f>
        <v>0</v>
      </c>
      <c r="F13" s="23">
        <f>SUMIF('Budget by Period'!$A:$A,"SAVINGS",'Budget by Period'!$N:$N)</f>
        <v>0</v>
      </c>
      <c r="G13" s="23">
        <f t="shared" ref="G13:G21" si="0">D13-E13-F13</f>
        <v>0</v>
      </c>
      <c r="H13" s="19"/>
      <c r="I13" s="34"/>
      <c r="J13" s="24"/>
      <c r="K13" s="24"/>
      <c r="L13" s="19"/>
      <c r="M13" s="34"/>
      <c r="N13" s="24"/>
      <c r="O13" s="24"/>
      <c r="P13" s="19"/>
      <c r="Q13" s="19"/>
      <c r="R13" s="19"/>
      <c r="S13" s="19"/>
      <c r="T13" s="19"/>
    </row>
    <row r="14" spans="1:20" ht="31.2" customHeight="1" x14ac:dyDescent="0.3">
      <c r="A14" s="35" t="s">
        <v>156</v>
      </c>
      <c r="B14" s="47" t="s">
        <v>157</v>
      </c>
      <c r="C14" s="25">
        <v>46167</v>
      </c>
      <c r="D14" s="21">
        <f>SUMIF('Budget by Period'!$A:$A,"INCOME",'Budget by Period'!$Q:$Q)</f>
        <v>0</v>
      </c>
      <c r="E14" s="21">
        <f>SUMIFS('Budget by Period'!$Q:$Q,'Budget by Period'!$A:$A,"&lt;&gt;INCOME",'Budget by Period'!$A:$A,"&lt;&gt;SAVINGS")</f>
        <v>0</v>
      </c>
      <c r="F14" s="21">
        <f>SUMIF('Budget by Period'!$A:$A,"SAVINGS",'Budget by Period'!$Q:$Q)</f>
        <v>0</v>
      </c>
      <c r="G14" s="21">
        <f t="shared" si="0"/>
        <v>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41.4" customHeight="1" x14ac:dyDescent="0.3">
      <c r="A15" s="35" t="s">
        <v>158</v>
      </c>
      <c r="B15" s="47" t="s">
        <v>159</v>
      </c>
      <c r="C15" s="25">
        <v>46198</v>
      </c>
      <c r="D15" s="21">
        <f>SUMIF('Budget by Period'!$A:$A,"INCOME",'Budget by Period'!$T:$T)</f>
        <v>0</v>
      </c>
      <c r="E15" s="21">
        <f>SUMIFS('Budget by Period'!$T:$T,'Budget by Period'!$A:$A,"&lt;&gt;INCOME",'Budget by Period'!$A:$A,"&lt;&gt;SAVINGS")</f>
        <v>0</v>
      </c>
      <c r="F15" s="21">
        <f>SUMIF('Budget by Period'!$A:$A,"SAVINGS",'Budget by Period'!$T:$T)</f>
        <v>0</v>
      </c>
      <c r="G15" s="21">
        <f t="shared" si="0"/>
        <v>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41.4" customHeight="1" x14ac:dyDescent="0.3">
      <c r="A16" s="35" t="s">
        <v>160</v>
      </c>
      <c r="B16" s="47" t="s">
        <v>161</v>
      </c>
      <c r="C16" s="25">
        <v>46228</v>
      </c>
      <c r="D16" s="21">
        <f>SUMIF('Budget by Period'!$A:$A,"INCOME",'Budget by Period'!$W:$W)</f>
        <v>0</v>
      </c>
      <c r="E16" s="21">
        <f>SUMIFS('Budget by Period'!$W:$W,'Budget by Period'!$A:$A,"&lt;&gt;INCOME",'Budget by Period'!$A:$A,"&lt;&gt;SAVINGS")</f>
        <v>0</v>
      </c>
      <c r="F16" s="21">
        <f>SUMIF('Budget by Period'!$A:$A,"SAVINGS",'Budget by Period'!$W:$W)</f>
        <v>0</v>
      </c>
      <c r="G16" s="21">
        <f t="shared" si="0"/>
        <v>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41.4" customHeight="1" x14ac:dyDescent="0.3">
      <c r="A17" s="35" t="s">
        <v>162</v>
      </c>
      <c r="B17" s="47" t="s">
        <v>163</v>
      </c>
      <c r="C17" s="25">
        <v>46259</v>
      </c>
      <c r="D17" s="21">
        <f>SUMIF('Budget by Period'!$A:$A,"INCOME",'Budget by Period'!$Z:$Z)</f>
        <v>0</v>
      </c>
      <c r="E17" s="21">
        <f>SUMIFS('Budget by Period'!$Z:$Z,'Budget by Period'!$A:$A,"&lt;&gt;INCOME",'Budget by Period'!$A:$A,"&lt;&gt;SAVINGS")</f>
        <v>0</v>
      </c>
      <c r="F17" s="21">
        <f>SUMIF('Budget by Period'!$A:$A,"SAVINGS",'Budget by Period'!$Z:$Z)</f>
        <v>0</v>
      </c>
      <c r="G17" s="21">
        <f t="shared" si="0"/>
        <v>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x14ac:dyDescent="0.3">
      <c r="A18" s="19" t="s">
        <v>164</v>
      </c>
      <c r="B18" s="25">
        <v>46260</v>
      </c>
      <c r="C18" s="25">
        <v>46290</v>
      </c>
      <c r="D18" s="21">
        <f>SUMIF('Budget by Period'!$A:$A,"INCOME",'Budget by Period'!$AC:$AC)</f>
        <v>0</v>
      </c>
      <c r="E18" s="21">
        <f>SUMIFS('Budget by Period'!$AC:$AC,'Budget by Period'!$A:$A,"&lt;&gt;INCOME",'Budget by Period'!$A:$A,"&lt;&gt;SAVINGS")</f>
        <v>0</v>
      </c>
      <c r="F18" s="21">
        <f>SUMIF('Budget by Period'!$A:$A,"SAVINGS",'Budget by Period'!$AC:$AC)</f>
        <v>0</v>
      </c>
      <c r="G18" s="21">
        <f t="shared" si="0"/>
        <v>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3">
      <c r="A19" s="19" t="s">
        <v>165</v>
      </c>
      <c r="B19" s="25">
        <v>46291</v>
      </c>
      <c r="C19" s="25">
        <v>46320</v>
      </c>
      <c r="D19" s="21">
        <f>SUMIF('Budget by Period'!$A:$A,"INCOME",'Budget by Period'!$AF:$AF)</f>
        <v>0</v>
      </c>
      <c r="E19" s="21">
        <f>SUMIFS('Budget by Period'!$AF:$AF,'Budget by Period'!$A:$A,"&lt;&gt;INCOME",'Budget by Period'!$A:$A,"&lt;&gt;SAVINGS")</f>
        <v>0</v>
      </c>
      <c r="F19" s="21">
        <f>SUMIF('Budget by Period'!$A:$A,"SAVINGS",'Budget by Period'!$AF:$AF)</f>
        <v>0</v>
      </c>
      <c r="G19" s="21">
        <f t="shared" si="0"/>
        <v>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3">
      <c r="A20" s="19" t="s">
        <v>166</v>
      </c>
      <c r="B20" s="25">
        <v>46321</v>
      </c>
      <c r="C20" s="25">
        <v>46351</v>
      </c>
      <c r="D20" s="21">
        <f>SUMIF('Budget by Period'!$A:$A,"INCOME",'Budget by Period'!$AI:$AI)</f>
        <v>0</v>
      </c>
      <c r="E20" s="21">
        <f>SUMIFS('Budget by Period'!$AI:$AI,'Budget by Period'!$A:$A,"&lt;&gt;INCOME",'Budget by Period'!$A:$A,"&lt;&gt;SAVINGS")</f>
        <v>0</v>
      </c>
      <c r="F20" s="21">
        <f>SUMIF('Budget by Period'!$A:$A,"SAVINGS",'Budget by Period'!$AI:$AI)</f>
        <v>0</v>
      </c>
      <c r="G20" s="21">
        <f t="shared" si="0"/>
        <v>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3">
      <c r="A21" s="19" t="s">
        <v>167</v>
      </c>
      <c r="B21" s="25">
        <v>46352</v>
      </c>
      <c r="C21" s="25">
        <v>46381</v>
      </c>
      <c r="D21" s="21">
        <f>SUMIF('Budget by Period'!$A:$A,"INCOME",'Budget by Period'!$AL:$AL)</f>
        <v>0</v>
      </c>
      <c r="E21" s="21">
        <f>SUMIFS('Budget by Period'!$AL:$AL,'Budget by Period'!$A:$A,"&lt;&gt;INCOME",'Budget by Period'!$A:$A,"&lt;&gt;SAVINGS")</f>
        <v>0</v>
      </c>
      <c r="F21" s="21">
        <f>SUMIF('Budget by Period'!$A:$A,"SAVINGS",'Budget by Period'!$AL:$AL)</f>
        <v>0</v>
      </c>
      <c r="G21" s="21">
        <f t="shared" si="0"/>
        <v>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3">
      <c r="A22" s="19"/>
      <c r="B22" s="25"/>
      <c r="C22" s="25"/>
      <c r="D22" s="21"/>
      <c r="E22" s="21"/>
      <c r="F22" s="21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x14ac:dyDescent="0.3">
      <c r="A23" s="19"/>
      <c r="B23" s="25"/>
      <c r="C23" s="25"/>
      <c r="D23" s="21"/>
      <c r="E23" s="21"/>
      <c r="F23" s="21"/>
      <c r="G23" s="2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57.6" customHeight="1" x14ac:dyDescent="0.3">
      <c r="A60" s="30" t="s">
        <v>168</v>
      </c>
      <c r="B60" s="19"/>
      <c r="C60" s="19"/>
      <c r="D60" s="19"/>
      <c r="E60" s="19"/>
      <c r="F60" s="19"/>
      <c r="G60" s="19"/>
      <c r="H60" s="30" t="s">
        <v>169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x14ac:dyDescent="0.3">
      <c r="A61" s="19" t="s">
        <v>170</v>
      </c>
      <c r="B61" s="19">
        <f>5+(B4-1)*3</f>
        <v>5</v>
      </c>
      <c r="C61" s="19"/>
      <c r="D61" s="19"/>
      <c r="E61" s="19"/>
      <c r="F61" s="19"/>
      <c r="G61" s="19"/>
      <c r="H61" s="39" t="s">
        <v>12</v>
      </c>
      <c r="I61" s="39" t="s">
        <v>171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x14ac:dyDescent="0.3">
      <c r="A62" s="19"/>
      <c r="B62" s="19"/>
      <c r="C62" s="19"/>
      <c r="D62" s="19"/>
      <c r="E62" s="19"/>
      <c r="F62" s="19"/>
      <c r="G62" s="19"/>
      <c r="H62" s="40" t="s">
        <v>34</v>
      </c>
      <c r="I62" s="41">
        <f>IFERROR(INDEX('Budget by Period'!$A:$ZZ, MATCH("Food",'Budget by Period'!$B:$B,0), 5+($B$4-1)*3),0)</f>
        <v>0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x14ac:dyDescent="0.3">
      <c r="A63" s="42" t="s">
        <v>65</v>
      </c>
      <c r="B63" s="42" t="s">
        <v>172</v>
      </c>
      <c r="C63" s="42" t="s">
        <v>173</v>
      </c>
      <c r="D63" s="42" t="s">
        <v>174</v>
      </c>
      <c r="E63" s="42" t="s">
        <v>175</v>
      </c>
      <c r="F63" s="19"/>
      <c r="G63" s="19"/>
      <c r="H63" s="40" t="s">
        <v>35</v>
      </c>
      <c r="I63" s="41">
        <f>IFERROR(INDEX('Budget by Period'!$A:$ZZ, MATCH("Others",'Budget by Period'!$B:$B,0), 5+($B$4-1)*3),0)</f>
        <v>0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28.8" customHeight="1" x14ac:dyDescent="0.3">
      <c r="A64" s="27">
        <v>1</v>
      </c>
      <c r="B64" s="43">
        <f>SUMIF('Budget by Period'!$A:$A,"INCOME",'Budget by Period'!$E:$E)</f>
        <v>3811.48</v>
      </c>
      <c r="C64" s="43">
        <f>SUMIFS('Budget by Period'!$E:$E,'Budget by Period'!$A:$A,"&lt;&gt;INCOME",'Budget by Period'!$A:$A,"&lt;&gt;SAVINGS")</f>
        <v>2179.9800000000005</v>
      </c>
      <c r="D64" s="43">
        <f>SUMIF('Budget by Period'!$A:$A,"SAVINGS",'Budget by Period'!$E:$E)</f>
        <v>0</v>
      </c>
      <c r="E64" s="43">
        <f t="shared" ref="E64:E75" si="1">B64-C64-D64</f>
        <v>1631.4999999999995</v>
      </c>
      <c r="F64" s="19"/>
      <c r="G64" s="19"/>
      <c r="H64" s="40" t="s">
        <v>22</v>
      </c>
      <c r="I64" s="41">
        <f>IFERROR(INDEX('Budget by Period'!$A:$ZZ, MATCH("Donations (Variable)",'Budget by Period'!$B:$B,0), 5+($B$4-1)*3),0)</f>
        <v>34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x14ac:dyDescent="0.3">
      <c r="A65" s="27">
        <v>2</v>
      </c>
      <c r="B65" s="43">
        <f>SUMIF('Budget by Period'!$A:$A,"INCOME",'Budget by Period'!$H:$H)</f>
        <v>0</v>
      </c>
      <c r="C65" s="43">
        <f>SUMIFS('Budget by Period'!$H:$H,'Budget by Period'!$A:$A,"&lt;&gt;INCOME",'Budget by Period'!$A:$A,"&lt;&gt;SAVINGS")</f>
        <v>0</v>
      </c>
      <c r="D65" s="43">
        <f>SUMIF('Budget by Period'!$A:$A,"SAVINGS",'Budget by Period'!$H:$H)</f>
        <v>0</v>
      </c>
      <c r="E65" s="43">
        <f t="shared" si="1"/>
        <v>0</v>
      </c>
      <c r="F65" s="19"/>
      <c r="G65" s="19"/>
      <c r="H65" s="40" t="s">
        <v>18</v>
      </c>
      <c r="I65" s="41">
        <f>IFERROR(INDEX('Budget by Period'!$A:$ZZ, MATCH("Tithe",'Budget by Period'!$B:$B,0), 5+($B$4-1)*3),0)</f>
        <v>383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x14ac:dyDescent="0.3">
      <c r="A66" s="27">
        <v>3</v>
      </c>
      <c r="B66" s="43">
        <f>SUMIF('Budget by Period'!$A:$A,"INCOME",'Budget by Period'!$K:$K)</f>
        <v>0</v>
      </c>
      <c r="C66" s="43">
        <f>SUMIFS('Budget by Period'!$K:$K,'Budget by Period'!$A:$A,"&lt;&gt;INCOME",'Budget by Period'!$A:$A,"&lt;&gt;SAVINGS")</f>
        <v>0</v>
      </c>
      <c r="D66" s="43">
        <f>SUMIF('Budget by Period'!$A:$A,"SAVINGS",'Budget by Period'!$K:$K)</f>
        <v>0</v>
      </c>
      <c r="E66" s="43">
        <f t="shared" si="1"/>
        <v>0</v>
      </c>
      <c r="F66" s="19"/>
      <c r="G66" s="19"/>
      <c r="H66" s="40" t="s">
        <v>19</v>
      </c>
      <c r="I66" s="41">
        <f>IFERROR(INDEX('Budget by Period'!$A:$ZZ, MATCH("Offerings",'Budget by Period'!$B:$B,0), 5+($B$4-1)*3),0)</f>
        <v>140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x14ac:dyDescent="0.3">
      <c r="A67" s="27">
        <v>4</v>
      </c>
      <c r="B67" s="43">
        <f>SUMIF('Budget by Period'!$A:$A,"INCOME",'Budget by Period'!$N:$N)</f>
        <v>0</v>
      </c>
      <c r="C67" s="43">
        <f>SUMIFS('Budget by Period'!$N:$N,'Budget by Period'!$A:$A,"&lt;&gt;INCOME",'Budget by Period'!$A:$A,"&lt;&gt;SAVINGS")</f>
        <v>0</v>
      </c>
      <c r="D67" s="43">
        <f>SUMIF('Budget by Period'!$A:$A,"SAVINGS",'Budget by Period'!$N:$N)</f>
        <v>0</v>
      </c>
      <c r="E67" s="43">
        <f t="shared" si="1"/>
        <v>0</v>
      </c>
      <c r="F67" s="19"/>
      <c r="G67" s="19"/>
      <c r="H67" s="40" t="s">
        <v>24</v>
      </c>
      <c r="I67" s="41">
        <f>IFERROR(INDEX('Budget by Period'!$A:$ZZ, MATCH("Rent",'Budget by Period'!$B:$B,0), 5+($B$4-1)*3),0)</f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x14ac:dyDescent="0.3">
      <c r="A68" s="27">
        <v>5</v>
      </c>
      <c r="B68" s="43">
        <f>SUMIF('Budget by Period'!$A:$A,"INCOME",'Budget by Period'!$Q:$Q)</f>
        <v>0</v>
      </c>
      <c r="C68" s="43">
        <f>SUMIFS('Budget by Period'!$Q:$Q,'Budget by Period'!$A:$A,"&lt;&gt;INCOME",'Budget by Period'!$A:$A,"&lt;&gt;SAVINGS")</f>
        <v>0</v>
      </c>
      <c r="D68" s="43">
        <f>SUMIF('Budget by Period'!$A:$A,"SAVINGS",'Budget by Period'!$Q:$Q)</f>
        <v>0</v>
      </c>
      <c r="E68" s="43">
        <f t="shared" si="1"/>
        <v>0</v>
      </c>
      <c r="F68" s="19"/>
      <c r="G68" s="19"/>
      <c r="H68" s="40" t="s">
        <v>132</v>
      </c>
      <c r="I68" s="41">
        <f>IFERROR(INDEX('Budget by Period'!$A:$ZZ, MATCH("Credit Card",'Budget by Period'!$B:$B,0), 5+($B$4-1)*3),0)</f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x14ac:dyDescent="0.3">
      <c r="A69" s="27">
        <v>6</v>
      </c>
      <c r="B69" s="43">
        <f>SUMIF('Budget by Period'!$A:$A,"INCOME",'Budget by Period'!$T:$T)</f>
        <v>0</v>
      </c>
      <c r="C69" s="43">
        <f>SUMIFS('Budget by Period'!$T:$T,'Budget by Period'!$A:$A,"&lt;&gt;INCOME",'Budget by Period'!$A:$A,"&lt;&gt;SAVINGS")</f>
        <v>0</v>
      </c>
      <c r="D69" s="43">
        <f>SUMIF('Budget by Period'!$A:$A,"SAVINGS",'Budget by Period'!$T:$T)</f>
        <v>0</v>
      </c>
      <c r="E69" s="43">
        <f t="shared" si="1"/>
        <v>0</v>
      </c>
      <c r="F69" s="19"/>
      <c r="G69" s="19"/>
      <c r="H69" s="40" t="s">
        <v>32</v>
      </c>
      <c r="I69" s="41">
        <f>IFERROR(INDEX('Budget by Period'!$A:$ZZ, MATCH("Fuel",'Budget by Period'!$B:$B,0), 5+($B$4-1)*3),0)</f>
        <v>30.17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x14ac:dyDescent="0.3">
      <c r="A70" s="27">
        <v>7</v>
      </c>
      <c r="B70" s="43">
        <f>SUMIF('Budget by Period'!$A:$A,"INCOME",'Budget by Period'!$W:$W)</f>
        <v>0</v>
      </c>
      <c r="C70" s="43">
        <f>SUMIFS('Budget by Period'!$W:$W,'Budget by Period'!$A:$A,"&lt;&gt;INCOME",'Budget by Period'!$A:$A,"&lt;&gt;SAVINGS")</f>
        <v>0</v>
      </c>
      <c r="D70" s="43">
        <f>SUMIF('Budget by Period'!$A:$A,"SAVINGS",'Budget by Period'!$W:$W)</f>
        <v>0</v>
      </c>
      <c r="E70" s="43">
        <f t="shared" si="1"/>
        <v>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x14ac:dyDescent="0.3">
      <c r="A71" s="27">
        <v>8</v>
      </c>
      <c r="B71" s="43">
        <f>SUMIF('Budget by Period'!$A:$A,"INCOME",'Budget by Period'!$Z:$Z)</f>
        <v>0</v>
      </c>
      <c r="C71" s="43">
        <f>SUMIFS('Budget by Period'!$Z:$Z,'Budget by Period'!$A:$A,"&lt;&gt;INCOME",'Budget by Period'!$A:$A,"&lt;&gt;SAVINGS")</f>
        <v>0</v>
      </c>
      <c r="D71" s="43">
        <f>SUMIF('Budget by Period'!$A:$A,"SAVINGS",'Budget by Period'!$Z:$Z)</f>
        <v>0</v>
      </c>
      <c r="E71" s="43">
        <f t="shared" si="1"/>
        <v>0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x14ac:dyDescent="0.3">
      <c r="A72" s="27">
        <v>9</v>
      </c>
      <c r="B72" s="43">
        <f>SUMIF('Budget by Period'!$A:$A,"INCOME",'Budget by Period'!$AC:$AC)</f>
        <v>0</v>
      </c>
      <c r="C72" s="43">
        <f>SUMIFS('Budget by Period'!$AC:$AC,'Budget by Period'!$A:$A,"&lt;&gt;INCOME",'Budget by Period'!$A:$A,"&lt;&gt;SAVINGS")</f>
        <v>0</v>
      </c>
      <c r="D72" s="43">
        <f>SUMIF('Budget by Period'!$A:$A,"SAVINGS",'Budget by Period'!$AC:$AC)</f>
        <v>0</v>
      </c>
      <c r="E72" s="43">
        <f t="shared" si="1"/>
        <v>0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x14ac:dyDescent="0.3">
      <c r="A73" s="27">
        <v>10</v>
      </c>
      <c r="B73" s="43">
        <f>SUMIF('Budget by Period'!$A:$A,"INCOME",'Budget by Period'!$AF:$AF)</f>
        <v>0</v>
      </c>
      <c r="C73" s="43">
        <f>SUMIFS('Budget by Period'!$AF:$AF,'Budget by Period'!$A:$A,"&lt;&gt;INCOME",'Budget by Period'!$A:$A,"&lt;&gt;SAVINGS")</f>
        <v>0</v>
      </c>
      <c r="D73" s="43">
        <f>SUMIF('Budget by Period'!$A:$A,"SAVINGS",'Budget by Period'!$AF:$AF)</f>
        <v>0</v>
      </c>
      <c r="E73" s="43">
        <f t="shared" si="1"/>
        <v>0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x14ac:dyDescent="0.3">
      <c r="A74" s="27">
        <v>11</v>
      </c>
      <c r="B74" s="43">
        <f>SUMIF('Budget by Period'!$A:$A,"INCOME",'Budget by Period'!$AI:$AI)</f>
        <v>0</v>
      </c>
      <c r="C74" s="43">
        <f>SUMIFS('Budget by Period'!$AI:$AI,'Budget by Period'!$A:$A,"&lt;&gt;INCOME",'Budget by Period'!$A:$A,"&lt;&gt;SAVINGS")</f>
        <v>0</v>
      </c>
      <c r="D74" s="43">
        <f>SUMIF('Budget by Period'!$A:$A,"SAVINGS",'Budget by Period'!$AI:$AI)</f>
        <v>0</v>
      </c>
      <c r="E74" s="43">
        <f t="shared" si="1"/>
        <v>0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x14ac:dyDescent="0.3">
      <c r="A75" s="27">
        <v>12</v>
      </c>
      <c r="B75" s="43">
        <f>SUMIF('Budget by Period'!$A:$A,"INCOME",'Budget by Period'!$AL:$AL)</f>
        <v>0</v>
      </c>
      <c r="C75" s="43">
        <f>SUMIFS('Budget by Period'!$AL:$AL,'Budget by Period'!$A:$A,"&lt;&gt;INCOME",'Budget by Period'!$A:$A,"&lt;&gt;SAVINGS")</f>
        <v>0</v>
      </c>
      <c r="D75" s="43">
        <f>SUMIF('Budget by Period'!$A:$A,"SAVINGS",'Budget by Period'!$AL:$AL)</f>
        <v>0</v>
      </c>
      <c r="E75" s="43">
        <f t="shared" si="1"/>
        <v>0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</sheetData>
  <dataValidations count="1">
    <dataValidation type="list" sqref="B4" xr:uid="{00000000-0002-0000-0700-000000000000}">
      <formula1>"1,2,3,4,5,6,7,8,9,10,11,12"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9"/>
  <sheetViews>
    <sheetView workbookViewId="0"/>
  </sheetViews>
  <sheetFormatPr defaultRowHeight="14.4" x14ac:dyDescent="0.3"/>
  <cols>
    <col min="1" max="1" width="115" customWidth="1"/>
  </cols>
  <sheetData>
    <row r="1" spans="1:1" ht="18" customHeight="1" x14ac:dyDescent="0.35">
      <c r="A1" s="12" t="s">
        <v>176</v>
      </c>
    </row>
    <row r="3" spans="1:1" x14ac:dyDescent="0.3">
      <c r="A3" s="3" t="s">
        <v>177</v>
      </c>
    </row>
    <row r="4" spans="1:1" x14ac:dyDescent="0.3">
      <c r="A4" s="3" t="s">
        <v>178</v>
      </c>
    </row>
    <row r="5" spans="1:1" x14ac:dyDescent="0.3">
      <c r="A5" s="3" t="s">
        <v>179</v>
      </c>
    </row>
    <row r="6" spans="1:1" x14ac:dyDescent="0.3">
      <c r="A6" s="3" t="s">
        <v>180</v>
      </c>
    </row>
    <row r="7" spans="1:1" x14ac:dyDescent="0.3">
      <c r="A7" s="3" t="s">
        <v>181</v>
      </c>
    </row>
    <row r="8" spans="1:1" x14ac:dyDescent="0.3">
      <c r="A8" s="3" t="s">
        <v>182</v>
      </c>
    </row>
    <row r="9" spans="1:1" x14ac:dyDescent="0.3">
      <c r="A9" s="3" t="s">
        <v>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6A6A"/>
  </sheetPr>
  <dimension ref="A1:J27"/>
  <sheetViews>
    <sheetView workbookViewId="0">
      <pane ySplit="9" topLeftCell="A10" activePane="bottomLeft" state="frozen"/>
      <selection pane="bottomLeft" activeCell="F20" sqref="F20"/>
    </sheetView>
  </sheetViews>
  <sheetFormatPr defaultRowHeight="14.4" x14ac:dyDescent="0.3"/>
  <cols>
    <col min="1" max="1" width="26" customWidth="1"/>
    <col min="2" max="2" width="18" customWidth="1"/>
    <col min="3" max="5" width="14" customWidth="1"/>
    <col min="6" max="6" width="12" customWidth="1"/>
    <col min="7" max="7" width="30" customWidth="1"/>
  </cols>
  <sheetData>
    <row r="1" spans="1:10" ht="23.4" customHeight="1" x14ac:dyDescent="0.45">
      <c r="A1" s="48" t="s">
        <v>184</v>
      </c>
    </row>
    <row r="2" spans="1:10" x14ac:dyDescent="0.3">
      <c r="A2" s="49" t="s">
        <v>185</v>
      </c>
      <c r="I2" t="s">
        <v>274</v>
      </c>
    </row>
    <row r="4" spans="1:10" x14ac:dyDescent="0.3">
      <c r="A4" s="50" t="s">
        <v>51</v>
      </c>
      <c r="B4" s="51">
        <f>Dashboard!B4</f>
        <v>1</v>
      </c>
      <c r="D4" s="50" t="s">
        <v>139</v>
      </c>
      <c r="E4" s="52">
        <f>Dashboard!E4</f>
        <v>46020</v>
      </c>
    </row>
    <row r="6" spans="1:10" ht="15.6" customHeight="1" x14ac:dyDescent="0.3">
      <c r="A6" s="50" t="s">
        <v>186</v>
      </c>
      <c r="B6" s="53">
        <f>INDEX('Periods 26-25'!$C:$C, MATCH($B$4, 'Periods 26-25'!$A:$A, 0))</f>
        <v>46013</v>
      </c>
      <c r="D6" s="50" t="s">
        <v>187</v>
      </c>
      <c r="E6" s="53">
        <f>INDEX('Periods 26-25'!$D:$D, MATCH($B$4, 'Periods 26-25'!$A:$A, 0))</f>
        <v>46047</v>
      </c>
      <c r="J6">
        <f>500*0.91</f>
        <v>455</v>
      </c>
    </row>
    <row r="9" spans="1:10" ht="28.8" customHeight="1" x14ac:dyDescent="0.3">
      <c r="A9" s="26" t="s">
        <v>126</v>
      </c>
      <c r="B9" s="26" t="s">
        <v>188</v>
      </c>
      <c r="C9" s="26" t="s">
        <v>189</v>
      </c>
      <c r="D9" s="26" t="s">
        <v>190</v>
      </c>
      <c r="E9" s="26" t="s">
        <v>191</v>
      </c>
      <c r="F9" s="26" t="s">
        <v>192</v>
      </c>
      <c r="G9" s="26" t="s">
        <v>61</v>
      </c>
    </row>
    <row r="10" spans="1:10" x14ac:dyDescent="0.3">
      <c r="A10" s="54" t="s">
        <v>24</v>
      </c>
      <c r="B10" s="55">
        <f>IF(INDEX('Bills Schedule'!$B$3:$B$200, MATCH($A10, 'Bills Schedule'!$A$3:$A$200,0))="","",IF(INDEX('Bills Schedule'!$B$3:$B$200, MATCH($A10, 'Bills Schedule'!$A$3:$A$200,0))&gt;=26,DATE(YEAR($B$6),MONTH($B$6),INDEX('Bills Schedule'!$B$3:$B$200, MATCH($A10, 'Bills Schedule'!$A$3:$A$200,0))),DATE(YEAR(EDATE($B$6,1)),MONTH(EDATE($B$6,1)),INDEX('Bills Schedule'!$B$3:$B$200, MATCH($A10, 'Bills Schedule'!$A$3:$A$200,0)))))</f>
        <v>46019</v>
      </c>
      <c r="C10" s="56">
        <f>INDEX('Bills Schedule'!$C$3:$C$200, MATCH($A10, 'Bills Schedule'!$A$3:$A$200,0))</f>
        <v>550</v>
      </c>
      <c r="D10" s="56">
        <f>IF($A10="Savings Transfer",SUMIFS(Transactions!$E:$E,Transactions!$B:$B,"Transfer",Transactions!$C:$C,$A10,Transactions!$I:$I,$B$4),SUMIFS(Transactions!$E:$E,Transactions!$B:$B,"Expense",Transactions!$C:$C,$A10,Transactions!$I:$I,$B$4))</f>
        <v>0</v>
      </c>
      <c r="E10" s="56">
        <f t="shared" ref="E10:E24" si="0">C10-D10</f>
        <v>550</v>
      </c>
      <c r="F10" s="57" t="str">
        <f t="shared" ref="F10:F24" si="1">IF(D10&gt;=C10*0.98,"Paid",IF(AND($E$4&gt;B10,E10&gt;0),"Overdue",IF(AND(B10-$E$4&lt;=7,B10-$E$4&gt;=0,E10&gt;0),"Due soon","Upcoming")))</f>
        <v>Overdue</v>
      </c>
      <c r="G10" s="54">
        <f>IFERROR(INDEX('Bills Schedule'!$H$3:$H$200, MATCH($A10, 'Bills Schedule'!$A$3:$A$200,0)),"")</f>
        <v>0</v>
      </c>
    </row>
    <row r="11" spans="1:10" x14ac:dyDescent="0.3">
      <c r="A11" s="58" t="s">
        <v>25</v>
      </c>
      <c r="B11" s="59">
        <f>IF(INDEX('Bills Schedule'!$B$3:$B$200, MATCH($A11, 'Bills Schedule'!$A$3:$A$200,0))="","",IF(INDEX('Bills Schedule'!$B$3:$B$200, MATCH($A11, 'Bills Schedule'!$A$3:$A$200,0))&gt;=26,DATE(YEAR($B$6),MONTH($B$6),INDEX('Bills Schedule'!$B$3:$B$200, MATCH($A11, 'Bills Schedule'!$A$3:$A$200,0))),DATE(YEAR(EDATE($B$6,1)),MONTH(EDATE($B$6,1)),INDEX('Bills Schedule'!$B$3:$B$200, MATCH($A11, 'Bills Schedule'!$A$3:$A$200,0)))))</f>
        <v>46019</v>
      </c>
      <c r="C11" s="60">
        <f>INDEX('Bills Schedule'!$C$3:$C$200, MATCH($A11, 'Bills Schedule'!$A$3:$A$200,0))</f>
        <v>175</v>
      </c>
      <c r="D11" s="60">
        <f>IF($A11="Savings Transfer",SUMIFS(Transactions!$E:$E,Transactions!$B:$B,"Transfer",Transactions!$C:$C,$A11,Transactions!$I:$I,$B$4),SUMIFS(Transactions!$E:$E,Transactions!$B:$B,"Expense",Transactions!$C:$C,$A11,Transactions!$I:$I,$B$4))</f>
        <v>0</v>
      </c>
      <c r="E11" s="60">
        <f t="shared" si="0"/>
        <v>175</v>
      </c>
      <c r="F11" s="61" t="str">
        <f t="shared" si="1"/>
        <v>Overdue</v>
      </c>
      <c r="G11" s="58">
        <f>IFERROR(INDEX('Bills Schedule'!$H$3:$H$200, MATCH($A11, 'Bills Schedule'!$A$3:$A$200,0)),"")</f>
        <v>0</v>
      </c>
    </row>
    <row r="12" spans="1:10" x14ac:dyDescent="0.3">
      <c r="A12" s="54" t="s">
        <v>26</v>
      </c>
      <c r="B12" s="55">
        <f>IF(INDEX('Bills Schedule'!$B$3:$B$200, MATCH($A12, 'Bills Schedule'!$A$3:$A$200,0))="","",IF(INDEX('Bills Schedule'!$B$3:$B$200, MATCH($A12, 'Bills Schedule'!$A$3:$A$200,0))&gt;=26,DATE(YEAR($B$6),MONTH($B$6),INDEX('Bills Schedule'!$B$3:$B$200, MATCH($A12, 'Bills Schedule'!$A$3:$A$200,0))),DATE(YEAR(EDATE($B$6,1)),MONTH(EDATE($B$6,1)),INDEX('Bills Schedule'!$B$3:$B$200, MATCH($A12, 'Bills Schedule'!$A$3:$A$200,0)))))</f>
        <v>46019</v>
      </c>
      <c r="C12" s="56">
        <f>INDEX('Bills Schedule'!$C$3:$C$200, MATCH($A12, 'Bills Schedule'!$A$3:$A$200,0))</f>
        <v>34</v>
      </c>
      <c r="D12" s="56">
        <f>IF($A12="Savings Transfer",SUMIFS(Transactions!$E:$E,Transactions!$B:$B,"Transfer",Transactions!$C:$C,$A12,Transactions!$I:$I,$B$4),SUMIFS(Transactions!$E:$E,Transactions!$B:$B,"Expense",Transactions!$C:$C,$A12,Transactions!$I:$I,$B$4))</f>
        <v>0</v>
      </c>
      <c r="E12" s="56">
        <f t="shared" si="0"/>
        <v>34</v>
      </c>
      <c r="F12" s="57" t="str">
        <f t="shared" si="1"/>
        <v>Overdue</v>
      </c>
      <c r="G12" s="54">
        <f>IFERROR(INDEX('Bills Schedule'!$H$3:$H$200, MATCH($A12, 'Bills Schedule'!$A$3:$A$200,0)),"")</f>
        <v>0</v>
      </c>
    </row>
    <row r="13" spans="1:10" x14ac:dyDescent="0.3">
      <c r="A13" s="58" t="s">
        <v>27</v>
      </c>
      <c r="B13" s="59">
        <f>IF(INDEX('Bills Schedule'!$B$3:$B$200, MATCH($A13, 'Bills Schedule'!$A$3:$A$200,0))="","",IF(INDEX('Bills Schedule'!$B$3:$B$200, MATCH($A13, 'Bills Schedule'!$A$3:$A$200,0))&gt;=26,DATE(YEAR($B$6),MONTH($B$6),INDEX('Bills Schedule'!$B$3:$B$200, MATCH($A13, 'Bills Schedule'!$A$3:$A$200,0))),DATE(YEAR(EDATE($B$6,1)),MONTH(EDATE($B$6,1)),INDEX('Bills Schedule'!$B$3:$B$200, MATCH($A13, 'Bills Schedule'!$A$3:$A$200,0)))))</f>
        <v>46019</v>
      </c>
      <c r="C13" s="60">
        <f>INDEX('Bills Schedule'!$C$3:$C$200, MATCH($A13, 'Bills Schedule'!$A$3:$A$200,0))</f>
        <v>93</v>
      </c>
      <c r="D13" s="60">
        <f>IF($A13="Savings Transfer",SUMIFS(Transactions!$E:$E,Transactions!$B:$B,"Transfer",Transactions!$C:$C,$A13,Transactions!$I:$I,$B$4),SUMIFS(Transactions!$E:$E,Transactions!$B:$B,"Expense",Transactions!$C:$C,$A13,Transactions!$I:$I,$B$4))</f>
        <v>92.77</v>
      </c>
      <c r="E13" s="60">
        <f t="shared" si="0"/>
        <v>0.23000000000000398</v>
      </c>
      <c r="F13" s="61" t="str">
        <f t="shared" si="1"/>
        <v>Paid</v>
      </c>
      <c r="G13" s="58">
        <f>IFERROR(INDEX('Bills Schedule'!$H$3:$H$200, MATCH($A13, 'Bills Schedule'!$A$3:$A$200,0)),"")</f>
        <v>0</v>
      </c>
    </row>
    <row r="14" spans="1:10" x14ac:dyDescent="0.3">
      <c r="A14" s="54" t="s">
        <v>29</v>
      </c>
      <c r="B14" s="55">
        <f>IF(INDEX('Bills Schedule'!$B$3:$B$200, MATCH($A14, 'Bills Schedule'!$A$3:$A$200,0))="","",IF(INDEX('Bills Schedule'!$B$3:$B$200, MATCH($A14, 'Bills Schedule'!$A$3:$A$200,0))&gt;=26,DATE(YEAR($B$6),MONTH($B$6),INDEX('Bills Schedule'!$B$3:$B$200, MATCH($A14, 'Bills Schedule'!$A$3:$A$200,0))),DATE(YEAR(EDATE($B$6,1)),MONTH(EDATE($B$6,1)),INDEX('Bills Schedule'!$B$3:$B$200, MATCH($A14, 'Bills Schedule'!$A$3:$A$200,0)))))</f>
        <v>46017</v>
      </c>
      <c r="C14" s="56">
        <f>INDEX('Bills Schedule'!$C$3:$C$200, MATCH($A14, 'Bills Schedule'!$A$3:$A$200,0))</f>
        <v>37</v>
      </c>
      <c r="D14" s="56">
        <f>IF($A14="Savings Transfer",SUMIFS(Transactions!$E:$E,Transactions!$B:$B,"Transfer",Transactions!$C:$C,$A14,Transactions!$I:$I,$B$4),SUMIFS(Transactions!$E:$E,Transactions!$B:$B,"Expense",Transactions!$C:$C,$A14,Transactions!$I:$I,$B$4))</f>
        <v>36.83</v>
      </c>
      <c r="E14" s="56">
        <f t="shared" si="0"/>
        <v>0.17000000000000171</v>
      </c>
      <c r="F14" s="57" t="str">
        <f t="shared" si="1"/>
        <v>Paid</v>
      </c>
      <c r="G14" s="54">
        <f>IFERROR(INDEX('Bills Schedule'!$H$3:$H$200, MATCH($A14, 'Bills Schedule'!$A$3:$A$200,0)),"")</f>
        <v>0</v>
      </c>
    </row>
    <row r="15" spans="1:10" x14ac:dyDescent="0.3">
      <c r="A15" s="58" t="s">
        <v>28</v>
      </c>
      <c r="B15" s="59">
        <f>IF(INDEX('Bills Schedule'!$B$3:$B$200, MATCH($A15, 'Bills Schedule'!$A$3:$A$200,0))="","",IF(INDEX('Bills Schedule'!$B$3:$B$200, MATCH($A15, 'Bills Schedule'!$A$3:$A$200,0))&gt;=26,DATE(YEAR($B$6),MONTH($B$6),INDEX('Bills Schedule'!$B$3:$B$200, MATCH($A15, 'Bills Schedule'!$A$3:$A$200,0))),DATE(YEAR(EDATE($B$6,1)),MONTH(EDATE($B$6,1)),INDEX('Bills Schedule'!$B$3:$B$200, MATCH($A15, 'Bills Schedule'!$A$3:$A$200,0)))))</f>
        <v>46017</v>
      </c>
      <c r="C15" s="60">
        <f>INDEX('Bills Schedule'!$C$3:$C$200, MATCH($A15, 'Bills Schedule'!$A$3:$A$200,0))</f>
        <v>200</v>
      </c>
      <c r="D15" s="60">
        <f>IF($A15="Savings Transfer",SUMIFS(Transactions!$E:$E,Transactions!$B:$B,"Transfer",Transactions!$C:$C,$A15,Transactions!$I:$I,$B$4),SUMIFS(Transactions!$E:$E,Transactions!$B:$B,"Expense",Transactions!$C:$C,$A15,Transactions!$I:$I,$B$4))</f>
        <v>50</v>
      </c>
      <c r="E15" s="60">
        <f t="shared" si="0"/>
        <v>150</v>
      </c>
      <c r="F15" s="61" t="str">
        <f t="shared" si="1"/>
        <v>Overdue</v>
      </c>
      <c r="G15" s="58">
        <f>IFERROR(INDEX('Bills Schedule'!$H$3:$H$200, MATCH($A15, 'Bills Schedule'!$A$3:$A$200,0)),"")</f>
        <v>0</v>
      </c>
    </row>
    <row r="16" spans="1:10" x14ac:dyDescent="0.3">
      <c r="A16" s="54" t="s">
        <v>30</v>
      </c>
      <c r="B16" s="55">
        <f>IF(INDEX('Bills Schedule'!$B$3:$B$200, MATCH($A16, 'Bills Schedule'!$A$3:$A$200,0))="","",IF(INDEX('Bills Schedule'!$B$3:$B$200, MATCH($A16, 'Bills Schedule'!$A$3:$A$200,0))&gt;=26,DATE(YEAR($B$6),MONTH($B$6),INDEX('Bills Schedule'!$B$3:$B$200, MATCH($A16, 'Bills Schedule'!$A$3:$A$200,0))),DATE(YEAR(EDATE($B$6,1)),MONTH(EDATE($B$6,1)),INDEX('Bills Schedule'!$B$3:$B$200, MATCH($A16, 'Bills Schedule'!$A$3:$A$200,0)))))</f>
        <v>46017</v>
      </c>
      <c r="C16" s="56">
        <f>INDEX('Bills Schedule'!$C$3:$C$200, MATCH($A16, 'Bills Schedule'!$A$3:$A$200,0))</f>
        <v>108</v>
      </c>
      <c r="D16" s="56">
        <f>IF($A16="Savings Transfer",SUMIFS(Transactions!$E:$E,Transactions!$B:$B,"Transfer",Transactions!$C:$C,$A16,Transactions!$I:$I,$B$4),SUMIFS(Transactions!$E:$E,Transactions!$B:$B,"Expense",Transactions!$C:$C,$A16,Transactions!$I:$I,$B$4))</f>
        <v>53.95</v>
      </c>
      <c r="E16" s="56">
        <f t="shared" si="0"/>
        <v>54.05</v>
      </c>
      <c r="F16" s="57" t="str">
        <f t="shared" si="1"/>
        <v>Overdue</v>
      </c>
      <c r="G16" s="54">
        <f>IFERROR(INDEX('Bills Schedule'!$H$3:$H$200, MATCH($A16, 'Bills Schedule'!$A$3:$A$200,0)),"")</f>
        <v>0</v>
      </c>
    </row>
    <row r="17" spans="1:7" x14ac:dyDescent="0.3">
      <c r="A17" s="58" t="s">
        <v>31</v>
      </c>
      <c r="B17" s="59">
        <f>IF(INDEX('Bills Schedule'!$B$3:$B$200, MATCH($A17, 'Bills Schedule'!$A$3:$A$200,0))="","",IF(INDEX('Bills Schedule'!$B$3:$B$200, MATCH($A17, 'Bills Schedule'!$A$3:$A$200,0))&gt;=26,DATE(YEAR($B$6),MONTH($B$6),INDEX('Bills Schedule'!$B$3:$B$200, MATCH($A17, 'Bills Schedule'!$A$3:$A$200,0))),DATE(YEAR(EDATE($B$6,1)),MONTH(EDATE($B$6,1)),INDEX('Bills Schedule'!$B$3:$B$200, MATCH($A17, 'Bills Schedule'!$A$3:$A$200,0)))))</f>
        <v>46017</v>
      </c>
      <c r="C17" s="60">
        <f>INDEX('Bills Schedule'!$C$3:$C$200, MATCH($A17, 'Bills Schedule'!$A$3:$A$200,0))</f>
        <v>140</v>
      </c>
      <c r="D17" s="60">
        <f>IF($A17="Savings Transfer",SUMIFS(Transactions!$E:$E,Transactions!$B:$B,"Transfer",Transactions!$C:$C,$A17,Transactions!$I:$I,$B$4),SUMIFS(Transactions!$E:$E,Transactions!$B:$B,"Expense",Transactions!$C:$C,$A17,Transactions!$I:$I,$B$4))</f>
        <v>140</v>
      </c>
      <c r="E17" s="60">
        <f t="shared" si="0"/>
        <v>0</v>
      </c>
      <c r="F17" s="61" t="str">
        <f t="shared" si="1"/>
        <v>Paid</v>
      </c>
      <c r="G17" s="58">
        <f>IFERROR(INDEX('Bills Schedule'!$H$3:$H$200, MATCH($A17, 'Bills Schedule'!$A$3:$A$200,0)),"")</f>
        <v>0</v>
      </c>
    </row>
    <row r="18" spans="1:7" x14ac:dyDescent="0.3">
      <c r="A18" s="54" t="s">
        <v>250</v>
      </c>
      <c r="B18" s="55">
        <f>IF(INDEX('Bills Schedule'!$B$3:$B$200, MATCH($A18, 'Bills Schedule'!$A$3:$A$200,0))="","",IF(INDEX('Bills Schedule'!$B$3:$B$200, MATCH($A18, 'Bills Schedule'!$A$3:$A$200,0))&gt;=26,DATE(YEAR($B$6),MONTH($B$6),INDEX('Bills Schedule'!$B$3:$B$200, MATCH($A18, 'Bills Schedule'!$A$3:$A$200,0))),DATE(YEAR(EDATE($B$6,1)),MONTH(EDATE($B$6,1)),INDEX('Bills Schedule'!$B$3:$B$200, MATCH($A18, 'Bills Schedule'!$A$3:$A$200,0)))))</f>
        <v>46017</v>
      </c>
      <c r="C18" s="56">
        <f>INDEX('Bills Schedule'!$C$3:$C$200, MATCH($A18, 'Bills Schedule'!$A$3:$A$200,0))</f>
        <v>400</v>
      </c>
      <c r="D18" s="56">
        <f>IF($A18="Savings Transfer",SUMIFS(Transactions!$E:$E,Transactions!$B:$B,"Transfer",Transactions!$C:$C,$A18,Transactions!$I:$I,$B$4),SUMIFS(Transactions!$E:$E,Transactions!$B:$B,"Expense",Transactions!$C:$C,$A18,Transactions!$I:$I,$B$4))</f>
        <v>438.91999999999996</v>
      </c>
      <c r="E18" s="56">
        <f t="shared" si="0"/>
        <v>-38.919999999999959</v>
      </c>
      <c r="F18" s="57" t="str">
        <f t="shared" si="1"/>
        <v>Paid</v>
      </c>
      <c r="G18" s="54">
        <f>IFERROR(INDEX('Bills Schedule'!$H$3:$H$200, MATCH($A18, 'Bills Schedule'!$A$3:$A$200,0)),"")</f>
        <v>0</v>
      </c>
    </row>
    <row r="19" spans="1:7" x14ac:dyDescent="0.3">
      <c r="A19" s="58" t="s">
        <v>32</v>
      </c>
      <c r="B19" s="59">
        <f>IF(INDEX('Bills Schedule'!$B$3:$B$200, MATCH($A19, 'Bills Schedule'!$A$3:$A$200,0))="","",IF(INDEX('Bills Schedule'!$B$3:$B$200, MATCH($A19, 'Bills Schedule'!$A$3:$A$200,0))&gt;=26,DATE(YEAR($B$6),MONTH($B$6),INDEX('Bills Schedule'!$B$3:$B$200, MATCH($A19, 'Bills Schedule'!$A$3:$A$200,0))),DATE(YEAR(EDATE($B$6,1)),MONTH(EDATE($B$6,1)),INDEX('Bills Schedule'!$B$3:$B$200, MATCH($A19, 'Bills Schedule'!$A$3:$A$200,0)))))</f>
        <v>46017</v>
      </c>
      <c r="C19" s="60">
        <f>INDEX('Bills Schedule'!$C$3:$C$200, MATCH($A19, 'Bills Schedule'!$A$3:$A$200,0))</f>
        <v>100</v>
      </c>
      <c r="D19" s="60">
        <f>IF($A19="Savings Transfer",SUMIFS(Transactions!$E:$E,Transactions!$B:$B,"Transfer",Transactions!$C:$C,$A19,Transactions!$I:$I,$B$4),SUMIFS(Transactions!$E:$E,Transactions!$B:$B,"Expense",Transactions!$C:$C,$A19,Transactions!$I:$I,$B$4))</f>
        <v>30.17</v>
      </c>
      <c r="E19" s="60">
        <f t="shared" si="0"/>
        <v>69.83</v>
      </c>
      <c r="F19" s="61" t="str">
        <f t="shared" si="1"/>
        <v>Overdue</v>
      </c>
      <c r="G19" s="58">
        <f>IFERROR(INDEX('Bills Schedule'!$H$3:$H$200, MATCH($A19, 'Bills Schedule'!$A$3:$A$200,0)),"")</f>
        <v>0</v>
      </c>
    </row>
    <row r="20" spans="1:7" x14ac:dyDescent="0.3">
      <c r="A20" s="54" t="s">
        <v>18</v>
      </c>
      <c r="B20" s="55">
        <f>IF(INDEX('Bills Schedule'!$B$3:$B$200, MATCH($A20, 'Bills Schedule'!$A$3:$A$200,0))="","",IF(INDEX('Bills Schedule'!$B$3:$B$200, MATCH($A20, 'Bills Schedule'!$A$3:$A$200,0))&gt;=26,DATE(YEAR($B$6),MONTH($B$6),INDEX('Bills Schedule'!$B$3:$B$200, MATCH($A20, 'Bills Schedule'!$A$3:$A$200,0))),DATE(YEAR(EDATE($B$6,1)),MONTH(EDATE($B$6,1)),INDEX('Bills Schedule'!$B$3:$B$200, MATCH($A20, 'Bills Schedule'!$A$3:$A$200,0)))))</f>
        <v>46017</v>
      </c>
      <c r="C20" s="56">
        <f>INDEX('Bills Schedule'!$C$3:$C$200, MATCH($A20, 'Bills Schedule'!$A$3:$A$200,0))</f>
        <v>410</v>
      </c>
      <c r="D20" s="56">
        <f>IF($A20="Savings Transfer",SUMIFS(Transactions!$E:$E,Transactions!$B:$B,"Transfer",Transactions!$C:$C,$A20,Transactions!$I:$I,$B$4),SUMIFS(Transactions!$E:$E,Transactions!$B:$B,"Expense",Transactions!$C:$C,$A20,Transactions!$I:$I,$B$4))</f>
        <v>383</v>
      </c>
      <c r="E20" s="56">
        <f t="shared" si="0"/>
        <v>27</v>
      </c>
      <c r="F20" s="57" t="str">
        <f t="shared" si="1"/>
        <v>Overdue</v>
      </c>
      <c r="G20" s="54">
        <f>IFERROR(INDEX('Bills Schedule'!$H$3:$H$200, MATCH($A20, 'Bills Schedule'!$A$3:$A$200,0)),"")</f>
        <v>0</v>
      </c>
    </row>
    <row r="21" spans="1:7" x14ac:dyDescent="0.3">
      <c r="A21" s="58" t="s">
        <v>19</v>
      </c>
      <c r="B21" s="59">
        <f>IF(INDEX('Bills Schedule'!$B$3:$B$200, MATCH($A21, 'Bills Schedule'!$A$3:$A$200,0))="","",IF(INDEX('Bills Schedule'!$B$3:$B$200, MATCH($A21, 'Bills Schedule'!$A$3:$A$200,0))&gt;=26,DATE(YEAR($B$6),MONTH($B$6),INDEX('Bills Schedule'!$B$3:$B$200, MATCH($A21, 'Bills Schedule'!$A$3:$A$200,0))),DATE(YEAR(EDATE($B$6,1)),MONTH(EDATE($B$6,1)),INDEX('Bills Schedule'!$B$3:$B$200, MATCH($A21, 'Bills Schedule'!$A$3:$A$200,0)))))</f>
        <v>46017</v>
      </c>
      <c r="C21" s="60">
        <f>INDEX('Bills Schedule'!$C$3:$C$200, MATCH($A21, 'Bills Schedule'!$A$3:$A$200,0))</f>
        <v>165</v>
      </c>
      <c r="D21" s="60">
        <f>IF($A21="Savings Transfer",SUMIFS(Transactions!$E:$E,Transactions!$B:$B,"Transfer",Transactions!$C:$C,$A21,Transactions!$I:$I,$B$4),SUMIFS(Transactions!$E:$E,Transactions!$B:$B,"Expense",Transactions!$C:$C,$A21,Transactions!$I:$I,$B$4))</f>
        <v>140</v>
      </c>
      <c r="E21" s="60">
        <f t="shared" si="0"/>
        <v>25</v>
      </c>
      <c r="F21" s="61" t="str">
        <f t="shared" si="1"/>
        <v>Overdue</v>
      </c>
      <c r="G21" s="58">
        <f>IFERROR(INDEX('Bills Schedule'!$H$3:$H$200, MATCH($A21, 'Bills Schedule'!$A$3:$A$200,0)),"")</f>
        <v>0</v>
      </c>
    </row>
    <row r="22" spans="1:7" x14ac:dyDescent="0.3">
      <c r="A22" s="54" t="s">
        <v>20</v>
      </c>
      <c r="B22" s="55">
        <f>IF(INDEX('Bills Schedule'!$B$3:$B$200, MATCH($A22, 'Bills Schedule'!$A$3:$A$200,0))="","",IF(INDEX('Bills Schedule'!$B$3:$B$200, MATCH($A22, 'Bills Schedule'!$A$3:$A$200,0))&gt;=26,DATE(YEAR($B$6),MONTH($B$6),INDEX('Bills Schedule'!$B$3:$B$200, MATCH($A22, 'Bills Schedule'!$A$3:$A$200,0))),DATE(YEAR(EDATE($B$6,1)),MONTH(EDATE($B$6,1)),INDEX('Bills Schedule'!$B$3:$B$200, MATCH($A22, 'Bills Schedule'!$A$3:$A$200,0)))))</f>
        <v>46017</v>
      </c>
      <c r="C22" s="56">
        <f>INDEX('Bills Schedule'!$C$3:$C$200, MATCH($A22, 'Bills Schedule'!$A$3:$A$200,0))</f>
        <v>50</v>
      </c>
      <c r="D22" s="56">
        <f>IF($A22="Savings Transfer",SUMIFS(Transactions!$E:$E,Transactions!$B:$B,"Transfer",Transactions!$C:$C,$A22,Transactions!$I:$I,$B$4),SUMIFS(Transactions!$E:$E,Transactions!$B:$B,"Expense",Transactions!$C:$C,$A22,Transactions!$I:$I,$B$4))</f>
        <v>50</v>
      </c>
      <c r="E22" s="56">
        <f t="shared" si="0"/>
        <v>0</v>
      </c>
      <c r="F22" s="57" t="str">
        <f t="shared" si="1"/>
        <v>Paid</v>
      </c>
      <c r="G22" s="54">
        <f>IFERROR(INDEX('Bills Schedule'!$H$3:$H$200, MATCH($A22, 'Bills Schedule'!$A$3:$A$200,0)),"")</f>
        <v>0</v>
      </c>
    </row>
    <row r="23" spans="1:7" x14ac:dyDescent="0.3">
      <c r="A23" s="58" t="s">
        <v>21</v>
      </c>
      <c r="B23" s="59">
        <f>IF(INDEX('Bills Schedule'!$B$3:$B$200, MATCH($A23, 'Bills Schedule'!$A$3:$A$200,0))="","",IF(INDEX('Bills Schedule'!$B$3:$B$200, MATCH($A23, 'Bills Schedule'!$A$3:$A$200,0))&gt;=26,DATE(YEAR($B$6),MONTH($B$6),INDEX('Bills Schedule'!$B$3:$B$200, MATCH($A23, 'Bills Schedule'!$A$3:$A$200,0))),DATE(YEAR(EDATE($B$6,1)),MONTH(EDATE($B$6,1)),INDEX('Bills Schedule'!$B$3:$B$200, MATCH($A23, 'Bills Schedule'!$A$3:$A$200,0)))))</f>
        <v>46017</v>
      </c>
      <c r="C23" s="60">
        <f>INDEX('Bills Schedule'!$C$3:$C$200, MATCH($A23, 'Bills Schedule'!$A$3:$A$200,0))</f>
        <v>100</v>
      </c>
      <c r="D23" s="60">
        <f>IF($A23="Savings Transfer",SUMIFS(Transactions!$E:$E,Transactions!$B:$B,"Transfer",Transactions!$C:$C,$A23,Transactions!$I:$I,$B$4),SUMIFS(Transactions!$E:$E,Transactions!$B:$B,"Expense",Transactions!$C:$C,$A23,Transactions!$I:$I,$B$4))</f>
        <v>100</v>
      </c>
      <c r="E23" s="60">
        <f t="shared" si="0"/>
        <v>0</v>
      </c>
      <c r="F23" s="61" t="str">
        <f t="shared" si="1"/>
        <v>Paid</v>
      </c>
      <c r="G23" s="58">
        <f>IFERROR(INDEX('Bills Schedule'!$H$3:$H$200, MATCH($A23, 'Bills Schedule'!$A$3:$A$200,0)),"")</f>
        <v>0</v>
      </c>
    </row>
    <row r="24" spans="1:7" x14ac:dyDescent="0.3">
      <c r="A24" s="54" t="s">
        <v>37</v>
      </c>
      <c r="B24" s="55">
        <f>IF(INDEX('Bills Schedule'!$B$3:$B$200, MATCH($A24, 'Bills Schedule'!$A$3:$A$200,0))="","",IF(INDEX('Bills Schedule'!$B$3:$B$200, MATCH($A24, 'Bills Schedule'!$A$3:$A$200,0))&gt;=26,DATE(YEAR($B$6),MONTH($B$6),INDEX('Bills Schedule'!$B$3:$B$200, MATCH($A24, 'Bills Schedule'!$A$3:$A$200,0))),DATE(YEAR(EDATE($B$6,1)),MONTH(EDATE($B$6,1)),INDEX('Bills Schedule'!$B$3:$B$200, MATCH($A24, 'Bills Schedule'!$A$3:$A$200,0)))))</f>
        <v>46020</v>
      </c>
      <c r="C24" s="56">
        <f>INDEX('Bills Schedule'!$C$3:$C$200, MATCH($A24, 'Bills Schedule'!$A$3:$A$200,0))</f>
        <v>1050</v>
      </c>
      <c r="D24" s="56">
        <f>IF($A24="Savings Transfer",SUMIFS(Transactions!$E:$E,Transactions!$B:$B,"Transfer",Transactions!$C:$C,$A24,Transactions!$I:$I,$B$4),SUMIFS(Transactions!$E:$E,Transactions!$B:$B,"Expense",Transactions!$C:$C,$A24,Transactions!$I:$I,$B$4))</f>
        <v>0</v>
      </c>
      <c r="E24" s="56">
        <f t="shared" si="0"/>
        <v>1050</v>
      </c>
      <c r="F24" s="57" t="str">
        <f t="shared" si="1"/>
        <v>Due soon</v>
      </c>
      <c r="G24" s="54">
        <f>IFERROR(INDEX('Bills Schedule'!$H$3:$H$200, MATCH($A24, 'Bills Schedule'!$A$3:$A$200,0)),"")</f>
        <v>0</v>
      </c>
    </row>
    <row r="25" spans="1:7" x14ac:dyDescent="0.3">
      <c r="A25" s="89" t="s">
        <v>238</v>
      </c>
      <c r="B25" s="55">
        <f>IF(INDEX('Bills Schedule'!$B$3:$B$200, MATCH($A25, 'Bills Schedule'!$A$3:$A$200,0))="","",IF(INDEX('Bills Schedule'!$B$3:$B$200, MATCH($A25, 'Bills Schedule'!$A$3:$A$200,0))&gt;=26,DATE(YEAR($B$6),MONTH($B$6),INDEX('Bills Schedule'!$B$3:$B$200, MATCH($A25, 'Bills Schedule'!$A$3:$A$200,0))),DATE(YEAR(EDATE($B$6,1)),MONTH(EDATE($B$6,1)),INDEX('Bills Schedule'!$B$3:$B$200, MATCH($A25, 'Bills Schedule'!$A$3:$A$200,0)))))</f>
        <v>46020</v>
      </c>
      <c r="C25" s="56">
        <f>INDEX('Bills Schedule'!$C$3:$C$200, MATCH($A25, 'Bills Schedule'!$A$3:$A$200,0))</f>
        <v>43</v>
      </c>
      <c r="D25" s="56">
        <f>IF($A25="Savings Transfer",SUMIFS(Transactions!$E:$E,Transactions!$B:$B,"Transfer",Transactions!$C:$C,$A25,Transactions!$I:$I,$B$4),SUMIFS(Transactions!$E:$E,Transactions!$B:$B,"Expense",Transactions!$C:$C,$A25,Transactions!$I:$I,$B$4))</f>
        <v>43</v>
      </c>
      <c r="E25" s="56">
        <f t="shared" ref="E25" si="2">C25-D25</f>
        <v>0</v>
      </c>
      <c r="F25" s="57" t="str">
        <f t="shared" ref="F25" si="3">IF(D25&gt;=C25*0.98,"Paid",IF(AND($E$4&gt;B25,E25&gt;0),"Overdue",IF(AND(B25-$E$4&lt;=7,B25-$E$4&gt;=0,E25&gt;0),"Due soon","Upcoming")))</f>
        <v>Paid</v>
      </c>
      <c r="G25" s="54">
        <f>IFERROR(INDEX('Bills Schedule'!$H$3:$H$200, MATCH($A25, 'Bills Schedule'!$A$3:$A$200,0)),"")</f>
        <v>0</v>
      </c>
    </row>
    <row r="26" spans="1:7" x14ac:dyDescent="0.3">
      <c r="A26" s="90" t="s">
        <v>241</v>
      </c>
      <c r="B26" s="55">
        <f>IF(INDEX('Bills Schedule'!$B$3:$B$200, MATCH($A26, 'Bills Schedule'!$A$3:$A$200,0))="","",IF(INDEX('Bills Schedule'!$B$3:$B$200, MATCH($A26, 'Bills Schedule'!$A$3:$A$200,0))&gt;=26,DATE(YEAR($B$6),MONTH($B$6),INDEX('Bills Schedule'!$B$3:$B$200, MATCH($A26, 'Bills Schedule'!$A$3:$A$200,0))),DATE(YEAR(EDATE($B$6,1)),MONTH(EDATE($B$6,1)),INDEX('Bills Schedule'!$B$3:$B$200, MATCH($A26, 'Bills Schedule'!$A$3:$A$200,0)))))</f>
        <v>46017</v>
      </c>
      <c r="C26" s="56">
        <f>INDEX('Bills Schedule'!$C$3:$C$200, MATCH($A26, 'Bills Schedule'!$A$3:$A$200,0))</f>
        <v>560</v>
      </c>
      <c r="D26" s="56">
        <f>IF($A26="Savings Transfer",SUMIFS(Transactions!$E:$E,Transactions!$B:$B,"Transfer",Transactions!$C:$C,$A26,Transactions!$I:$I,$B$4),SUMIFS(Transactions!$E:$E,Transactions!$B:$B,"Expense",Transactions!$C:$C,$A26,Transactions!$I:$I,$B$4))</f>
        <v>129.97</v>
      </c>
      <c r="E26" s="56">
        <f t="shared" ref="E26" si="4">C26-D26</f>
        <v>430.03</v>
      </c>
      <c r="F26" s="57" t="str">
        <f t="shared" ref="F26" si="5">IF(D26&gt;=C26*0.98,"Paid",IF(AND($E$4&gt;B26,E26&gt;0),"Overdue",IF(AND(B26-$E$4&lt;=7,B26-$E$4&gt;=0,E26&gt;0),"Due soon","Upcoming")))</f>
        <v>Overdue</v>
      </c>
      <c r="G26" s="54">
        <f>IFERROR(INDEX('Bills Schedule'!$H$3:$H$200, MATCH($A26, 'Bills Schedule'!$A$3:$A$200,0)),"")</f>
        <v>0</v>
      </c>
    </row>
    <row r="27" spans="1:7" x14ac:dyDescent="0.3">
      <c r="A27" t="s">
        <v>39</v>
      </c>
      <c r="B27" s="55">
        <f>IF(INDEX('Bills Schedule'!$B$3:$B$200, MATCH($A27, 'Bills Schedule'!$A$3:$A$200,0))="","",IF(INDEX('Bills Schedule'!$B$3:$B$200, MATCH($A27, 'Bills Schedule'!$A$3:$A$200,0))&gt;=26,DATE(YEAR($B$6),MONTH($B$6),INDEX('Bills Schedule'!$B$3:$B$200, MATCH($A27, 'Bills Schedule'!$A$3:$A$200,0))),DATE(YEAR(EDATE($B$6,1)),MONTH(EDATE($B$6,1)),INDEX('Bills Schedule'!$B$3:$B$200, MATCH($A27, 'Bills Schedule'!$A$3:$A$200,0)))))</f>
        <v>46017</v>
      </c>
      <c r="C27" s="56">
        <f>INDEX('Bills Schedule'!$C$3:$C$200, MATCH($A27, 'Bills Schedule'!$A$3:$A$200,0))</f>
        <v>500</v>
      </c>
      <c r="D27" s="56">
        <f>IF($A27="Savings Transfer",SUMIFS(Transactions!$E:$E,Transactions!$B:$B,"Transfer",Transactions!$C:$C,$A27,Transactions!$I:$I,$B$4),SUMIFS(Transactions!$E:$E,Transactions!$B:$B,"Expense",Transactions!$C:$C,$A27,Transactions!$I:$I,$B$4))</f>
        <v>457.37</v>
      </c>
      <c r="E27" s="56">
        <f>C27-D27</f>
        <v>42.629999999999995</v>
      </c>
      <c r="F27" s="57" t="str">
        <f>IF(D27&gt;=C27*0.91,"Paid",IF(AND($E$4&gt;B27,E27&gt;0),"Overdue",IF(AND(B27-$E$4&lt;=7,B27-$E$4&gt;=0,E27&gt;0),"Due soon","Upcoming")))</f>
        <v>Paid</v>
      </c>
      <c r="G27" s="54" t="str">
        <f>IFERROR(INDEX('Bills Schedule'!$H$3:$H$200, MATCH($A27, 'Bills Schedule'!$A$3:$A$200,0)),"")</f>
        <v>One-Off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AFF"/>
  </sheetPr>
  <dimension ref="A1:O72"/>
  <sheetViews>
    <sheetView workbookViewId="0">
      <pane ySplit="12" topLeftCell="A13" activePane="bottomLeft" state="frozen"/>
      <selection pane="bottomLeft" activeCell="A8" sqref="A8"/>
    </sheetView>
  </sheetViews>
  <sheetFormatPr defaultRowHeight="14.4" x14ac:dyDescent="0.3"/>
  <cols>
    <col min="1" max="1" width="14" customWidth="1"/>
    <col min="2" max="2" width="18" customWidth="1"/>
    <col min="3" max="3" width="14" customWidth="1"/>
    <col min="4" max="4" width="11.21875" bestFit="1" customWidth="1"/>
    <col min="5" max="5" width="10" customWidth="1"/>
    <col min="6" max="6" width="34" customWidth="1"/>
  </cols>
  <sheetData>
    <row r="1" spans="1:15" ht="23.4" customHeight="1" x14ac:dyDescent="0.45">
      <c r="A1" s="48" t="s">
        <v>193</v>
      </c>
    </row>
    <row r="2" spans="1:15" x14ac:dyDescent="0.3">
      <c r="A2" s="49" t="s">
        <v>194</v>
      </c>
    </row>
    <row r="4" spans="1:15" x14ac:dyDescent="0.3">
      <c r="A4" s="50" t="s">
        <v>139</v>
      </c>
      <c r="B4" s="52">
        <f>Dashboard!E4</f>
        <v>46020</v>
      </c>
      <c r="D4" s="50" t="s">
        <v>195</v>
      </c>
      <c r="E4" s="51">
        <v>30</v>
      </c>
      <c r="F4" s="49" t="s">
        <v>196</v>
      </c>
    </row>
    <row r="6" spans="1:15" x14ac:dyDescent="0.3">
      <c r="A6" s="62" t="s">
        <v>197</v>
      </c>
      <c r="H6" s="63" t="s">
        <v>86</v>
      </c>
      <c r="I6" s="64" t="s">
        <v>54</v>
      </c>
    </row>
    <row r="7" spans="1:15" x14ac:dyDescent="0.3">
      <c r="A7" s="65" t="s">
        <v>198</v>
      </c>
      <c r="B7" s="66"/>
      <c r="C7" s="66"/>
      <c r="E7" s="65" t="s">
        <v>199</v>
      </c>
      <c r="F7" s="66"/>
      <c r="G7" s="66"/>
      <c r="H7" s="67" t="s">
        <v>198</v>
      </c>
      <c r="I7" s="68">
        <f>B8</f>
        <v>0</v>
      </c>
      <c r="J7" s="66"/>
      <c r="K7" s="66"/>
      <c r="M7" s="65" t="s">
        <v>200</v>
      </c>
      <c r="N7" s="66"/>
      <c r="O7" s="66"/>
    </row>
    <row r="8" spans="1:15" ht="23.4" customHeight="1" x14ac:dyDescent="0.3">
      <c r="A8" s="32">
        <f>SUMIFS('Income Schedule'!$C:$C,'Income Schedule'!$B:$B,"FM (26th)",'Income Schedule'!$A:$A,"&gt;="&amp;$B$4,'Income Schedule'!$A:$A,"&lt;="&amp;$B$4+$E$4)</f>
        <v>3500</v>
      </c>
      <c r="B8" s="66"/>
      <c r="C8" s="66"/>
      <c r="E8" s="32">
        <f>SUMIFS('Income Schedule'!$C:$C,'Income Schedule'!$B:$B,"McD (biweekly)",'Income Schedule'!$A:$A,"&gt;="&amp;$B$4,'Income Schedule'!$A:$A,"&lt;="&amp;$B$4+$E$4)</f>
        <v>800</v>
      </c>
      <c r="F8" s="66"/>
      <c r="G8" s="66"/>
      <c r="H8" s="67" t="s">
        <v>199</v>
      </c>
      <c r="I8" s="69">
        <f>F8</f>
        <v>0</v>
      </c>
      <c r="J8" s="66"/>
      <c r="K8" s="66"/>
      <c r="M8" s="32">
        <f>B8+F8+J8</f>
        <v>0</v>
      </c>
      <c r="N8" s="66"/>
      <c r="O8" s="66"/>
    </row>
    <row r="9" spans="1:15" x14ac:dyDescent="0.3">
      <c r="A9" s="70"/>
      <c r="B9" s="66"/>
      <c r="C9" s="66"/>
      <c r="E9" s="70"/>
      <c r="F9" s="66"/>
      <c r="G9" s="66"/>
      <c r="H9" s="67" t="s">
        <v>201</v>
      </c>
      <c r="I9" s="71">
        <f>J8</f>
        <v>0</v>
      </c>
      <c r="J9" s="66"/>
      <c r="K9" s="66"/>
      <c r="M9" s="70"/>
      <c r="N9" s="66"/>
      <c r="O9" s="66"/>
    </row>
    <row r="12" spans="1:15" x14ac:dyDescent="0.3">
      <c r="A12" s="26" t="s">
        <v>85</v>
      </c>
      <c r="B12" s="26" t="s">
        <v>86</v>
      </c>
      <c r="C12" s="26" t="s">
        <v>202</v>
      </c>
      <c r="D12" s="26" t="s">
        <v>203</v>
      </c>
      <c r="E12" s="26" t="s">
        <v>65</v>
      </c>
      <c r="F12" s="26" t="s">
        <v>61</v>
      </c>
    </row>
    <row r="13" spans="1:15" ht="28.8" x14ac:dyDescent="0.3">
      <c r="A13" s="55">
        <f>IFERROR(SMALL('Income Schedule'!$H$3:$H$96,1),"")</f>
        <v>46036.00045</v>
      </c>
      <c r="B13" s="54" t="str">
        <f>IF($A13="","",INDEX('Income Schedule'!$B:$B, MATCH($A13, 'Income Schedule'!$H:$H, 0)))</f>
        <v>Outlier (weekly Wed)</v>
      </c>
      <c r="C13" s="56">
        <f>IF($A13="","",INDEX('Income Schedule'!$C:$C, MATCH($A13, 'Income Schedule'!$H:$H, 0)))</f>
        <v>100</v>
      </c>
      <c r="D13" s="57">
        <f t="shared" ref="D13:D44" si="0">IF($A13="","",$A13-$B$4)</f>
        <v>16.000449999999546</v>
      </c>
      <c r="E13" s="57">
        <f>IF($A13="","",INDEX('Income Schedule'!$D:$D, MATCH($A13, 'Income Schedule'!$H:$H, 0)))</f>
        <v>1</v>
      </c>
      <c r="F13" s="54" t="str">
        <f>IF($A13="","",INDEX('Income Schedule'!$E:$E, MATCH($A13, 'Income Schedule'!$H:$H, 0)))</f>
        <v>Weekly Wednesday</v>
      </c>
    </row>
    <row r="14" spans="1:15" ht="28.8" customHeight="1" x14ac:dyDescent="0.3">
      <c r="A14" s="59">
        <f>IFERROR(SMALL('Income Schedule'!$H$3:$H$96,2),"")</f>
        <v>46037.000180000003</v>
      </c>
      <c r="B14" s="58" t="str">
        <f>IF($A14="","",INDEX('Income Schedule'!$B:$B, MATCH($A14, 'Income Schedule'!$H:$H, 0)))</f>
        <v>McD (biweekly)</v>
      </c>
      <c r="C14" s="60">
        <f>IF($A14="","",INDEX('Income Schedule'!$C:$C, MATCH($A14, 'Income Schedule'!$H:$H, 0)))</f>
        <v>400</v>
      </c>
      <c r="D14" s="61">
        <f t="shared" si="0"/>
        <v>17.000180000002729</v>
      </c>
      <c r="E14" s="61">
        <f>IF($A14="","",INDEX('Income Schedule'!$D:$D, MATCH($A14, 'Income Schedule'!$H:$H, 0)))</f>
        <v>1</v>
      </c>
      <c r="F14" s="58" t="str">
        <f>IF($A14="","",INDEX('Income Schedule'!$E:$E, MATCH($A14, 'Income Schedule'!$H:$H, 0)))</f>
        <v>Every 2 weeks</v>
      </c>
    </row>
    <row r="15" spans="1:15" ht="28.8" x14ac:dyDescent="0.3">
      <c r="A15" s="55">
        <f>IFERROR(SMALL('Income Schedule'!$H$3:$H$96,3),"")</f>
        <v>46043.000460000003</v>
      </c>
      <c r="B15" s="54" t="str">
        <f>IF($A15="","",INDEX('Income Schedule'!$B:$B, MATCH($A15, 'Income Schedule'!$H:$H, 0)))</f>
        <v>Outlier (weekly Wed)</v>
      </c>
      <c r="C15" s="56">
        <f>IF($A15="","",INDEX('Income Schedule'!$C:$C, MATCH($A15, 'Income Schedule'!$H:$H, 0)))</f>
        <v>100</v>
      </c>
      <c r="D15" s="57">
        <f t="shared" si="0"/>
        <v>23.000460000002931</v>
      </c>
      <c r="E15" s="57">
        <f>IF($A15="","",INDEX('Income Schedule'!$D:$D, MATCH($A15, 'Income Schedule'!$H:$H, 0)))</f>
        <v>1</v>
      </c>
      <c r="F15" s="54" t="str">
        <f>IF($A15="","",INDEX('Income Schedule'!$E:$E, MATCH($A15, 'Income Schedule'!$H:$H, 0)))</f>
        <v>Weekly Wednesday</v>
      </c>
    </row>
    <row r="16" spans="1:15" ht="28.8" customHeight="1" x14ac:dyDescent="0.3">
      <c r="A16" s="59">
        <f>IFERROR(SMALL('Income Schedule'!$H$3:$H$96,4),"")</f>
        <v>46050.000469999999</v>
      </c>
      <c r="B16" s="58" t="str">
        <f>IF($A16="","",INDEX('Income Schedule'!$B:$B, MATCH($A16, 'Income Schedule'!$H:$H, 0)))</f>
        <v>Outlier (weekly Wed)</v>
      </c>
      <c r="C16" s="60">
        <f>IF($A16="","",INDEX('Income Schedule'!$C:$C, MATCH($A16, 'Income Schedule'!$H:$H, 0)))</f>
        <v>100</v>
      </c>
      <c r="D16" s="61">
        <f t="shared" si="0"/>
        <v>30.000469999999041</v>
      </c>
      <c r="E16" s="61">
        <f>IF($A16="","",INDEX('Income Schedule'!$D:$D, MATCH($A16, 'Income Schedule'!$H:$H, 0)))</f>
        <v>2</v>
      </c>
      <c r="F16" s="58" t="str">
        <f>IF($A16="","",INDEX('Income Schedule'!$E:$E, MATCH($A16, 'Income Schedule'!$H:$H, 0)))</f>
        <v>Weekly Wednesday</v>
      </c>
    </row>
    <row r="17" spans="1:6" ht="28.8" customHeight="1" x14ac:dyDescent="0.3">
      <c r="A17" s="55">
        <f>IFERROR(SMALL('Income Schedule'!$H$3:$H$96,5),"")</f>
        <v>46051.000189999999</v>
      </c>
      <c r="B17" s="54" t="str">
        <f>IF($A17="","",INDEX('Income Schedule'!$B:$B, MATCH($A17, 'Income Schedule'!$H:$H, 0)))</f>
        <v>McD (biweekly)</v>
      </c>
      <c r="C17" s="56">
        <f>IF($A17="","",INDEX('Income Schedule'!$C:$C, MATCH($A17, 'Income Schedule'!$H:$H, 0)))</f>
        <v>400</v>
      </c>
      <c r="D17" s="57">
        <f t="shared" si="0"/>
        <v>31.000189999998838</v>
      </c>
      <c r="E17" s="57">
        <f>IF($A17="","",INDEX('Income Schedule'!$D:$D, MATCH($A17, 'Income Schedule'!$H:$H, 0)))</f>
        <v>2</v>
      </c>
      <c r="F17" s="54" t="str">
        <f>IF($A17="","",INDEX('Income Schedule'!$E:$E, MATCH($A17, 'Income Schedule'!$H:$H, 0)))</f>
        <v>Every 2 weeks</v>
      </c>
    </row>
    <row r="18" spans="1:6" x14ac:dyDescent="0.3">
      <c r="A18" s="59">
        <f>IFERROR(SMALL('Income Schedule'!$H$3:$H$96,6),"")</f>
        <v>46057.000480000002</v>
      </c>
      <c r="B18" s="58" t="str">
        <f>IF($A18="","",INDEX('Income Schedule'!$B:$B, MATCH($A18, 'Income Schedule'!$H:$H, 0)))</f>
        <v>Outlier (weekly Wed)</v>
      </c>
      <c r="C18" s="60">
        <f>IF($A18="","",INDEX('Income Schedule'!$C:$C, MATCH($A18, 'Income Schedule'!$H:$H, 0)))</f>
        <v>100</v>
      </c>
      <c r="D18" s="61">
        <f t="shared" si="0"/>
        <v>37.000480000002426</v>
      </c>
      <c r="E18" s="61">
        <f>IF($A18="","",INDEX('Income Schedule'!$D:$D, MATCH($A18, 'Income Schedule'!$H:$H, 0)))</f>
        <v>2</v>
      </c>
      <c r="F18" s="58" t="str">
        <f>IF($A18="","",INDEX('Income Schedule'!$E:$E, MATCH($A18, 'Income Schedule'!$H:$H, 0)))</f>
        <v>Weekly Wednesday</v>
      </c>
    </row>
    <row r="19" spans="1:6" ht="28.8" customHeight="1" x14ac:dyDescent="0.3">
      <c r="A19" s="55">
        <f>IFERROR(SMALL('Income Schedule'!$H$3:$H$96,7),"")</f>
        <v>46079.000059999998</v>
      </c>
      <c r="B19" s="54" t="str">
        <f>IF($A19="","",INDEX('Income Schedule'!$B:$B, MATCH($A19, 'Income Schedule'!$H:$H, 0)))</f>
        <v>FM (26th)</v>
      </c>
      <c r="C19" s="56">
        <f>IF($A19="","",INDEX('Income Schedule'!$C:$C, MATCH($A19, 'Income Schedule'!$H:$H, 0)))</f>
        <v>3500</v>
      </c>
      <c r="D19" s="57">
        <f t="shared" si="0"/>
        <v>59.000059999998484</v>
      </c>
      <c r="E19" s="57">
        <f>IF($A19="","",INDEX('Income Schedule'!$D:$D, MATCH($A19, 'Income Schedule'!$H:$H, 0)))</f>
        <v>3</v>
      </c>
      <c r="F19" s="54" t="str">
        <f>IF($A19="","",INDEX('Income Schedule'!$E:$E, MATCH($A19, 'Income Schedule'!$H:$H, 0)))</f>
        <v>Latest by 26th</v>
      </c>
    </row>
    <row r="20" spans="1:6" ht="28.8" customHeight="1" x14ac:dyDescent="0.3">
      <c r="A20" s="59" t="str">
        <f>IFERROR(SMALL('Income Schedule'!$H$3:$H$96,8),"")</f>
        <v/>
      </c>
      <c r="B20" s="58" t="str">
        <f>IF($A20="","",INDEX('Income Schedule'!$B:$B, MATCH($A20, 'Income Schedule'!$H:$H, 0)))</f>
        <v/>
      </c>
      <c r="C20" s="60" t="str">
        <f>IF($A20="","",INDEX('Income Schedule'!$C:$C, MATCH($A20, 'Income Schedule'!$H:$H, 0)))</f>
        <v/>
      </c>
      <c r="D20" s="61" t="str">
        <f t="shared" si="0"/>
        <v/>
      </c>
      <c r="E20" s="61" t="str">
        <f>IF($A20="","",INDEX('Income Schedule'!$D:$D, MATCH($A20, 'Income Schedule'!$H:$H, 0)))</f>
        <v/>
      </c>
      <c r="F20" s="58" t="str">
        <f>IF($A20="","",INDEX('Income Schedule'!$E:$E, MATCH($A20, 'Income Schedule'!$H:$H, 0)))</f>
        <v/>
      </c>
    </row>
    <row r="21" spans="1:6" x14ac:dyDescent="0.3">
      <c r="A21" s="55" t="str">
        <f>IFERROR(SMALL('Income Schedule'!$H$3:$H$96,9),"")</f>
        <v/>
      </c>
      <c r="B21" s="54" t="str">
        <f>IF($A21="","",INDEX('Income Schedule'!$B:$B, MATCH($A21, 'Income Schedule'!$H:$H, 0)))</f>
        <v/>
      </c>
      <c r="C21" s="56" t="str">
        <f>IF($A21="","",INDEX('Income Schedule'!$C:$C, MATCH($A21, 'Income Schedule'!$H:$H, 0)))</f>
        <v/>
      </c>
      <c r="D21" s="57" t="str">
        <f t="shared" si="0"/>
        <v/>
      </c>
      <c r="E21" s="57" t="str">
        <f>IF($A21="","",INDEX('Income Schedule'!$D:$D, MATCH($A21, 'Income Schedule'!$H:$H, 0)))</f>
        <v/>
      </c>
      <c r="F21" s="54" t="str">
        <f>IF($A21="","",INDEX('Income Schedule'!$E:$E, MATCH($A21, 'Income Schedule'!$H:$H, 0)))</f>
        <v/>
      </c>
    </row>
    <row r="22" spans="1:6" x14ac:dyDescent="0.3">
      <c r="A22" s="59" t="str">
        <f>IFERROR(SMALL('Income Schedule'!$H$3:$H$96,10),"")</f>
        <v/>
      </c>
      <c r="B22" s="58" t="str">
        <f>IF($A22="","",INDEX('Income Schedule'!$B:$B, MATCH($A22, 'Income Schedule'!$H:$H, 0)))</f>
        <v/>
      </c>
      <c r="C22" s="60" t="str">
        <f>IF($A22="","",INDEX('Income Schedule'!$C:$C, MATCH($A22, 'Income Schedule'!$H:$H, 0)))</f>
        <v/>
      </c>
      <c r="D22" s="61" t="str">
        <f t="shared" si="0"/>
        <v/>
      </c>
      <c r="E22" s="61" t="str">
        <f>IF($A22="","",INDEX('Income Schedule'!$D:$D, MATCH($A22, 'Income Schedule'!$H:$H, 0)))</f>
        <v/>
      </c>
      <c r="F22" s="58" t="str">
        <f>IF($A22="","",INDEX('Income Schedule'!$E:$E, MATCH($A22, 'Income Schedule'!$H:$H, 0)))</f>
        <v/>
      </c>
    </row>
    <row r="23" spans="1:6" x14ac:dyDescent="0.3">
      <c r="A23" s="55" t="str">
        <f>IFERROR(SMALL('Income Schedule'!$H$3:$H$96,11),"")</f>
        <v/>
      </c>
      <c r="B23" s="54" t="str">
        <f>IF($A23="","",INDEX('Income Schedule'!$B:$B, MATCH($A23, 'Income Schedule'!$H:$H, 0)))</f>
        <v/>
      </c>
      <c r="C23" s="56" t="str">
        <f>IF($A23="","",INDEX('Income Schedule'!$C:$C, MATCH($A23, 'Income Schedule'!$H:$H, 0)))</f>
        <v/>
      </c>
      <c r="D23" s="57" t="str">
        <f t="shared" si="0"/>
        <v/>
      </c>
      <c r="E23" s="57" t="str">
        <f>IF($A23="","",INDEX('Income Schedule'!$D:$D, MATCH($A23, 'Income Schedule'!$H:$H, 0)))</f>
        <v/>
      </c>
      <c r="F23" s="54" t="str">
        <f>IF($A23="","",INDEX('Income Schedule'!$E:$E, MATCH($A23, 'Income Schedule'!$H:$H, 0)))</f>
        <v/>
      </c>
    </row>
    <row r="24" spans="1:6" x14ac:dyDescent="0.3">
      <c r="A24" s="59" t="str">
        <f>IFERROR(SMALL('Income Schedule'!$H$3:$H$96,12),"")</f>
        <v/>
      </c>
      <c r="B24" s="58" t="str">
        <f>IF($A24="","",INDEX('Income Schedule'!$B:$B, MATCH($A24, 'Income Schedule'!$H:$H, 0)))</f>
        <v/>
      </c>
      <c r="C24" s="60" t="str">
        <f>IF($A24="","",INDEX('Income Schedule'!$C:$C, MATCH($A24, 'Income Schedule'!$H:$H, 0)))</f>
        <v/>
      </c>
      <c r="D24" s="61" t="str">
        <f t="shared" si="0"/>
        <v/>
      </c>
      <c r="E24" s="61" t="str">
        <f>IF($A24="","",INDEX('Income Schedule'!$D:$D, MATCH($A24, 'Income Schedule'!$H:$H, 0)))</f>
        <v/>
      </c>
      <c r="F24" s="58" t="str">
        <f>IF($A24="","",INDEX('Income Schedule'!$E:$E, MATCH($A24, 'Income Schedule'!$H:$H, 0)))</f>
        <v/>
      </c>
    </row>
    <row r="25" spans="1:6" x14ac:dyDescent="0.3">
      <c r="A25" s="55" t="str">
        <f>IFERROR(SMALL('Income Schedule'!$H$3:$H$96,13),"")</f>
        <v/>
      </c>
      <c r="B25" s="54" t="str">
        <f>IF($A25="","",INDEX('Income Schedule'!$B:$B, MATCH($A25, 'Income Schedule'!$H:$H, 0)))</f>
        <v/>
      </c>
      <c r="C25" s="56" t="str">
        <f>IF($A25="","",INDEX('Income Schedule'!$C:$C, MATCH($A25, 'Income Schedule'!$H:$H, 0)))</f>
        <v/>
      </c>
      <c r="D25" s="57" t="str">
        <f t="shared" si="0"/>
        <v/>
      </c>
      <c r="E25" s="57" t="str">
        <f>IF($A25="","",INDEX('Income Schedule'!$D:$D, MATCH($A25, 'Income Schedule'!$H:$H, 0)))</f>
        <v/>
      </c>
      <c r="F25" s="54" t="str">
        <f>IF($A25="","",INDEX('Income Schedule'!$E:$E, MATCH($A25, 'Income Schedule'!$H:$H, 0)))</f>
        <v/>
      </c>
    </row>
    <row r="26" spans="1:6" x14ac:dyDescent="0.3">
      <c r="A26" s="59" t="str">
        <f>IFERROR(SMALL('Income Schedule'!$H$3:$H$96,14),"")</f>
        <v/>
      </c>
      <c r="B26" s="58" t="str">
        <f>IF($A26="","",INDEX('Income Schedule'!$B:$B, MATCH($A26, 'Income Schedule'!$H:$H, 0)))</f>
        <v/>
      </c>
      <c r="C26" s="60" t="str">
        <f>IF($A26="","",INDEX('Income Schedule'!$C:$C, MATCH($A26, 'Income Schedule'!$H:$H, 0)))</f>
        <v/>
      </c>
      <c r="D26" s="61" t="str">
        <f t="shared" si="0"/>
        <v/>
      </c>
      <c r="E26" s="61" t="str">
        <f>IF($A26="","",INDEX('Income Schedule'!$D:$D, MATCH($A26, 'Income Schedule'!$H:$H, 0)))</f>
        <v/>
      </c>
      <c r="F26" s="58" t="str">
        <f>IF($A26="","",INDEX('Income Schedule'!$E:$E, MATCH($A26, 'Income Schedule'!$H:$H, 0)))</f>
        <v/>
      </c>
    </row>
    <row r="27" spans="1:6" x14ac:dyDescent="0.3">
      <c r="A27" s="55" t="str">
        <f>IFERROR(SMALL('Income Schedule'!$H$3:$H$96,15),"")</f>
        <v/>
      </c>
      <c r="B27" s="54" t="str">
        <f>IF($A27="","",INDEX('Income Schedule'!$B:$B, MATCH($A27, 'Income Schedule'!$H:$H, 0)))</f>
        <v/>
      </c>
      <c r="C27" s="56" t="str">
        <f>IF($A27="","",INDEX('Income Schedule'!$C:$C, MATCH($A27, 'Income Schedule'!$H:$H, 0)))</f>
        <v/>
      </c>
      <c r="D27" s="57" t="str">
        <f t="shared" si="0"/>
        <v/>
      </c>
      <c r="E27" s="57" t="str">
        <f>IF($A27="","",INDEX('Income Schedule'!$D:$D, MATCH($A27, 'Income Schedule'!$H:$H, 0)))</f>
        <v/>
      </c>
      <c r="F27" s="54" t="str">
        <f>IF($A27="","",INDEX('Income Schedule'!$E:$E, MATCH($A27, 'Income Schedule'!$H:$H, 0)))</f>
        <v/>
      </c>
    </row>
    <row r="28" spans="1:6" x14ac:dyDescent="0.3">
      <c r="A28" s="59" t="str">
        <f>IFERROR(SMALL('Income Schedule'!$H$3:$H$96,16),"")</f>
        <v/>
      </c>
      <c r="B28" s="58" t="str">
        <f>IF($A28="","",INDEX('Income Schedule'!$B:$B, MATCH($A28, 'Income Schedule'!$H:$H, 0)))</f>
        <v/>
      </c>
      <c r="C28" s="60" t="str">
        <f>IF($A28="","",INDEX('Income Schedule'!$C:$C, MATCH($A28, 'Income Schedule'!$H:$H, 0)))</f>
        <v/>
      </c>
      <c r="D28" s="61" t="str">
        <f t="shared" si="0"/>
        <v/>
      </c>
      <c r="E28" s="61" t="str">
        <f>IF($A28="","",INDEX('Income Schedule'!$D:$D, MATCH($A28, 'Income Schedule'!$H:$H, 0)))</f>
        <v/>
      </c>
      <c r="F28" s="58" t="str">
        <f>IF($A28="","",INDEX('Income Schedule'!$E:$E, MATCH($A28, 'Income Schedule'!$H:$H, 0)))</f>
        <v/>
      </c>
    </row>
    <row r="29" spans="1:6" x14ac:dyDescent="0.3">
      <c r="A29" s="55" t="str">
        <f>IFERROR(SMALL('Income Schedule'!$H$3:$H$96,17),"")</f>
        <v/>
      </c>
      <c r="B29" s="54" t="str">
        <f>IF($A29="","",INDEX('Income Schedule'!$B:$B, MATCH($A29, 'Income Schedule'!$H:$H, 0)))</f>
        <v/>
      </c>
      <c r="C29" s="56" t="str">
        <f>IF($A29="","",INDEX('Income Schedule'!$C:$C, MATCH($A29, 'Income Schedule'!$H:$H, 0)))</f>
        <v/>
      </c>
      <c r="D29" s="57" t="str">
        <f t="shared" si="0"/>
        <v/>
      </c>
      <c r="E29" s="57" t="str">
        <f>IF($A29="","",INDEX('Income Schedule'!$D:$D, MATCH($A29, 'Income Schedule'!$H:$H, 0)))</f>
        <v/>
      </c>
      <c r="F29" s="54" t="str">
        <f>IF($A29="","",INDEX('Income Schedule'!$E:$E, MATCH($A29, 'Income Schedule'!$H:$H, 0)))</f>
        <v/>
      </c>
    </row>
    <row r="30" spans="1:6" x14ac:dyDescent="0.3">
      <c r="A30" s="59" t="str">
        <f>IFERROR(SMALL('Income Schedule'!$H$3:$H$96,18),"")</f>
        <v/>
      </c>
      <c r="B30" s="58" t="str">
        <f>IF($A30="","",INDEX('Income Schedule'!$B:$B, MATCH($A30, 'Income Schedule'!$H:$H, 0)))</f>
        <v/>
      </c>
      <c r="C30" s="60" t="str">
        <f>IF($A30="","",INDEX('Income Schedule'!$C:$C, MATCH($A30, 'Income Schedule'!$H:$H, 0)))</f>
        <v/>
      </c>
      <c r="D30" s="61" t="str">
        <f t="shared" si="0"/>
        <v/>
      </c>
      <c r="E30" s="61" t="str">
        <f>IF($A30="","",INDEX('Income Schedule'!$D:$D, MATCH($A30, 'Income Schedule'!$H:$H, 0)))</f>
        <v/>
      </c>
      <c r="F30" s="58" t="str">
        <f>IF($A30="","",INDEX('Income Schedule'!$E:$E, MATCH($A30, 'Income Schedule'!$H:$H, 0)))</f>
        <v/>
      </c>
    </row>
    <row r="31" spans="1:6" x14ac:dyDescent="0.3">
      <c r="A31" s="55" t="str">
        <f>IFERROR(SMALL('Income Schedule'!$H$3:$H$96,19),"")</f>
        <v/>
      </c>
      <c r="B31" s="54" t="str">
        <f>IF($A31="","",INDEX('Income Schedule'!$B:$B, MATCH($A31, 'Income Schedule'!$H:$H, 0)))</f>
        <v/>
      </c>
      <c r="C31" s="56" t="str">
        <f>IF($A31="","",INDEX('Income Schedule'!$C:$C, MATCH($A31, 'Income Schedule'!$H:$H, 0)))</f>
        <v/>
      </c>
      <c r="D31" s="57" t="str">
        <f t="shared" si="0"/>
        <v/>
      </c>
      <c r="E31" s="57" t="str">
        <f>IF($A31="","",INDEX('Income Schedule'!$D:$D, MATCH($A31, 'Income Schedule'!$H:$H, 0)))</f>
        <v/>
      </c>
      <c r="F31" s="54" t="str">
        <f>IF($A31="","",INDEX('Income Schedule'!$E:$E, MATCH($A31, 'Income Schedule'!$H:$H, 0)))</f>
        <v/>
      </c>
    </row>
    <row r="32" spans="1:6" x14ac:dyDescent="0.3">
      <c r="A32" s="59" t="str">
        <f>IFERROR(SMALL('Income Schedule'!$H$3:$H$96,20),"")</f>
        <v/>
      </c>
      <c r="B32" s="58" t="str">
        <f>IF($A32="","",INDEX('Income Schedule'!$B:$B, MATCH($A32, 'Income Schedule'!$H:$H, 0)))</f>
        <v/>
      </c>
      <c r="C32" s="60" t="str">
        <f>IF($A32="","",INDEX('Income Schedule'!$C:$C, MATCH($A32, 'Income Schedule'!$H:$H, 0)))</f>
        <v/>
      </c>
      <c r="D32" s="61" t="str">
        <f t="shared" si="0"/>
        <v/>
      </c>
      <c r="E32" s="61" t="str">
        <f>IF($A32="","",INDEX('Income Schedule'!$D:$D, MATCH($A32, 'Income Schedule'!$H:$H, 0)))</f>
        <v/>
      </c>
      <c r="F32" s="58" t="str">
        <f>IF($A32="","",INDEX('Income Schedule'!$E:$E, MATCH($A32, 'Income Schedule'!$H:$H, 0)))</f>
        <v/>
      </c>
    </row>
    <row r="33" spans="1:6" x14ac:dyDescent="0.3">
      <c r="A33" s="55" t="str">
        <f>IFERROR(SMALL('Income Schedule'!$H$3:$H$96,21),"")</f>
        <v/>
      </c>
      <c r="B33" s="54" t="str">
        <f>IF($A33="","",INDEX('Income Schedule'!$B:$B, MATCH($A33, 'Income Schedule'!$H:$H, 0)))</f>
        <v/>
      </c>
      <c r="C33" s="56" t="str">
        <f>IF($A33="","",INDEX('Income Schedule'!$C:$C, MATCH($A33, 'Income Schedule'!$H:$H, 0)))</f>
        <v/>
      </c>
      <c r="D33" s="57" t="str">
        <f t="shared" si="0"/>
        <v/>
      </c>
      <c r="E33" s="57" t="str">
        <f>IF($A33="","",INDEX('Income Schedule'!$D:$D, MATCH($A33, 'Income Schedule'!$H:$H, 0)))</f>
        <v/>
      </c>
      <c r="F33" s="54" t="str">
        <f>IF($A33="","",INDEX('Income Schedule'!$E:$E, MATCH($A33, 'Income Schedule'!$H:$H, 0)))</f>
        <v/>
      </c>
    </row>
    <row r="34" spans="1:6" x14ac:dyDescent="0.3">
      <c r="A34" s="59" t="str">
        <f>IFERROR(SMALL('Income Schedule'!$H$3:$H$96,22),"")</f>
        <v/>
      </c>
      <c r="B34" s="58" t="str">
        <f>IF($A34="","",INDEX('Income Schedule'!$B:$B, MATCH($A34, 'Income Schedule'!$H:$H, 0)))</f>
        <v/>
      </c>
      <c r="C34" s="60" t="str">
        <f>IF($A34="","",INDEX('Income Schedule'!$C:$C, MATCH($A34, 'Income Schedule'!$H:$H, 0)))</f>
        <v/>
      </c>
      <c r="D34" s="61" t="str">
        <f t="shared" si="0"/>
        <v/>
      </c>
      <c r="E34" s="61" t="str">
        <f>IF($A34="","",INDEX('Income Schedule'!$D:$D, MATCH($A34, 'Income Schedule'!$H:$H, 0)))</f>
        <v/>
      </c>
      <c r="F34" s="58" t="str">
        <f>IF($A34="","",INDEX('Income Schedule'!$E:$E, MATCH($A34, 'Income Schedule'!$H:$H, 0)))</f>
        <v/>
      </c>
    </row>
    <row r="35" spans="1:6" x14ac:dyDescent="0.3">
      <c r="A35" s="55" t="str">
        <f>IFERROR(SMALL('Income Schedule'!$H$3:$H$96,23),"")</f>
        <v/>
      </c>
      <c r="B35" s="54" t="str">
        <f>IF($A35="","",INDEX('Income Schedule'!$B:$B, MATCH($A35, 'Income Schedule'!$H:$H, 0)))</f>
        <v/>
      </c>
      <c r="C35" s="56" t="str">
        <f>IF($A35="","",INDEX('Income Schedule'!$C:$C, MATCH($A35, 'Income Schedule'!$H:$H, 0)))</f>
        <v/>
      </c>
      <c r="D35" s="57" t="str">
        <f t="shared" si="0"/>
        <v/>
      </c>
      <c r="E35" s="57" t="str">
        <f>IF($A35="","",INDEX('Income Schedule'!$D:$D, MATCH($A35, 'Income Schedule'!$H:$H, 0)))</f>
        <v/>
      </c>
      <c r="F35" s="54" t="str">
        <f>IF($A35="","",INDEX('Income Schedule'!$E:$E, MATCH($A35, 'Income Schedule'!$H:$H, 0)))</f>
        <v/>
      </c>
    </row>
    <row r="36" spans="1:6" x14ac:dyDescent="0.3">
      <c r="A36" s="59" t="str">
        <f>IFERROR(SMALL('Income Schedule'!$H$3:$H$96,24),"")</f>
        <v/>
      </c>
      <c r="B36" s="58" t="str">
        <f>IF($A36="","",INDEX('Income Schedule'!$B:$B, MATCH($A36, 'Income Schedule'!$H:$H, 0)))</f>
        <v/>
      </c>
      <c r="C36" s="60" t="str">
        <f>IF($A36="","",INDEX('Income Schedule'!$C:$C, MATCH($A36, 'Income Schedule'!$H:$H, 0)))</f>
        <v/>
      </c>
      <c r="D36" s="61" t="str">
        <f t="shared" si="0"/>
        <v/>
      </c>
      <c r="E36" s="61" t="str">
        <f>IF($A36="","",INDEX('Income Schedule'!$D:$D, MATCH($A36, 'Income Schedule'!$H:$H, 0)))</f>
        <v/>
      </c>
      <c r="F36" s="58" t="str">
        <f>IF($A36="","",INDEX('Income Schedule'!$E:$E, MATCH($A36, 'Income Schedule'!$H:$H, 0)))</f>
        <v/>
      </c>
    </row>
    <row r="37" spans="1:6" x14ac:dyDescent="0.3">
      <c r="A37" s="55" t="str">
        <f>IFERROR(SMALL('Income Schedule'!$H$3:$H$96,25),"")</f>
        <v/>
      </c>
      <c r="B37" s="54" t="str">
        <f>IF($A37="","",INDEX('Income Schedule'!$B:$B, MATCH($A37, 'Income Schedule'!$H:$H, 0)))</f>
        <v/>
      </c>
      <c r="C37" s="56" t="str">
        <f>IF($A37="","",INDEX('Income Schedule'!$C:$C, MATCH($A37, 'Income Schedule'!$H:$H, 0)))</f>
        <v/>
      </c>
      <c r="D37" s="57" t="str">
        <f t="shared" si="0"/>
        <v/>
      </c>
      <c r="E37" s="57" t="str">
        <f>IF($A37="","",INDEX('Income Schedule'!$D:$D, MATCH($A37, 'Income Schedule'!$H:$H, 0)))</f>
        <v/>
      </c>
      <c r="F37" s="54" t="str">
        <f>IF($A37="","",INDEX('Income Schedule'!$E:$E, MATCH($A37, 'Income Schedule'!$H:$H, 0)))</f>
        <v/>
      </c>
    </row>
    <row r="38" spans="1:6" x14ac:dyDescent="0.3">
      <c r="A38" s="59" t="str">
        <f>IFERROR(SMALL('Income Schedule'!$H$3:$H$96,26),"")</f>
        <v/>
      </c>
      <c r="B38" s="58" t="str">
        <f>IF($A38="","",INDEX('Income Schedule'!$B:$B, MATCH($A38, 'Income Schedule'!$H:$H, 0)))</f>
        <v/>
      </c>
      <c r="C38" s="60" t="str">
        <f>IF($A38="","",INDEX('Income Schedule'!$C:$C, MATCH($A38, 'Income Schedule'!$H:$H, 0)))</f>
        <v/>
      </c>
      <c r="D38" s="61" t="str">
        <f t="shared" si="0"/>
        <v/>
      </c>
      <c r="E38" s="61" t="str">
        <f>IF($A38="","",INDEX('Income Schedule'!$D:$D, MATCH($A38, 'Income Schedule'!$H:$H, 0)))</f>
        <v/>
      </c>
      <c r="F38" s="58" t="str">
        <f>IF($A38="","",INDEX('Income Schedule'!$E:$E, MATCH($A38, 'Income Schedule'!$H:$H, 0)))</f>
        <v/>
      </c>
    </row>
    <row r="39" spans="1:6" x14ac:dyDescent="0.3">
      <c r="A39" s="55" t="str">
        <f>IFERROR(SMALL('Income Schedule'!$H$3:$H$96,27),"")</f>
        <v/>
      </c>
      <c r="B39" s="54" t="str">
        <f>IF($A39="","",INDEX('Income Schedule'!$B:$B, MATCH($A39, 'Income Schedule'!$H:$H, 0)))</f>
        <v/>
      </c>
      <c r="C39" s="56" t="str">
        <f>IF($A39="","",INDEX('Income Schedule'!$C:$C, MATCH($A39, 'Income Schedule'!$H:$H, 0)))</f>
        <v/>
      </c>
      <c r="D39" s="57" t="str">
        <f t="shared" si="0"/>
        <v/>
      </c>
      <c r="E39" s="57" t="str">
        <f>IF($A39="","",INDEX('Income Schedule'!$D:$D, MATCH($A39, 'Income Schedule'!$H:$H, 0)))</f>
        <v/>
      </c>
      <c r="F39" s="54" t="str">
        <f>IF($A39="","",INDEX('Income Schedule'!$E:$E, MATCH($A39, 'Income Schedule'!$H:$H, 0)))</f>
        <v/>
      </c>
    </row>
    <row r="40" spans="1:6" x14ac:dyDescent="0.3">
      <c r="A40" s="59" t="str">
        <f>IFERROR(SMALL('Income Schedule'!$H$3:$H$96,28),"")</f>
        <v/>
      </c>
      <c r="B40" s="58" t="str">
        <f>IF($A40="","",INDEX('Income Schedule'!$B:$B, MATCH($A40, 'Income Schedule'!$H:$H, 0)))</f>
        <v/>
      </c>
      <c r="C40" s="60" t="str">
        <f>IF($A40="","",INDEX('Income Schedule'!$C:$C, MATCH($A40, 'Income Schedule'!$H:$H, 0)))</f>
        <v/>
      </c>
      <c r="D40" s="61" t="str">
        <f t="shared" si="0"/>
        <v/>
      </c>
      <c r="E40" s="61" t="str">
        <f>IF($A40="","",INDEX('Income Schedule'!$D:$D, MATCH($A40, 'Income Schedule'!$H:$H, 0)))</f>
        <v/>
      </c>
      <c r="F40" s="58" t="str">
        <f>IF($A40="","",INDEX('Income Schedule'!$E:$E, MATCH($A40, 'Income Schedule'!$H:$H, 0)))</f>
        <v/>
      </c>
    </row>
    <row r="41" spans="1:6" x14ac:dyDescent="0.3">
      <c r="A41" s="55" t="str">
        <f>IFERROR(SMALL('Income Schedule'!$H$3:$H$96,29),"")</f>
        <v/>
      </c>
      <c r="B41" s="54" t="str">
        <f>IF($A41="","",INDEX('Income Schedule'!$B:$B, MATCH($A41, 'Income Schedule'!$H:$H, 0)))</f>
        <v/>
      </c>
      <c r="C41" s="56" t="str">
        <f>IF($A41="","",INDEX('Income Schedule'!$C:$C, MATCH($A41, 'Income Schedule'!$H:$H, 0)))</f>
        <v/>
      </c>
      <c r="D41" s="57" t="str">
        <f t="shared" si="0"/>
        <v/>
      </c>
      <c r="E41" s="57" t="str">
        <f>IF($A41="","",INDEX('Income Schedule'!$D:$D, MATCH($A41, 'Income Schedule'!$H:$H, 0)))</f>
        <v/>
      </c>
      <c r="F41" s="54" t="str">
        <f>IF($A41="","",INDEX('Income Schedule'!$E:$E, MATCH($A41, 'Income Schedule'!$H:$H, 0)))</f>
        <v/>
      </c>
    </row>
    <row r="42" spans="1:6" x14ac:dyDescent="0.3">
      <c r="A42" s="59" t="str">
        <f>IFERROR(SMALL('Income Schedule'!$H$3:$H$96,30),"")</f>
        <v/>
      </c>
      <c r="B42" s="58" t="str">
        <f>IF($A42="","",INDEX('Income Schedule'!$B:$B, MATCH($A42, 'Income Schedule'!$H:$H, 0)))</f>
        <v/>
      </c>
      <c r="C42" s="60" t="str">
        <f>IF($A42="","",INDEX('Income Schedule'!$C:$C, MATCH($A42, 'Income Schedule'!$H:$H, 0)))</f>
        <v/>
      </c>
      <c r="D42" s="61" t="str">
        <f t="shared" si="0"/>
        <v/>
      </c>
      <c r="E42" s="61" t="str">
        <f>IF($A42="","",INDEX('Income Schedule'!$D:$D, MATCH($A42, 'Income Schedule'!$H:$H, 0)))</f>
        <v/>
      </c>
      <c r="F42" s="58" t="str">
        <f>IF($A42="","",INDEX('Income Schedule'!$E:$E, MATCH($A42, 'Income Schedule'!$H:$H, 0)))</f>
        <v/>
      </c>
    </row>
    <row r="43" spans="1:6" x14ac:dyDescent="0.3">
      <c r="A43" s="55" t="str">
        <f>IFERROR(SMALL('Income Schedule'!$H$3:$H$96,31),"")</f>
        <v/>
      </c>
      <c r="B43" s="54" t="str">
        <f>IF($A43="","",INDEX('Income Schedule'!$B:$B, MATCH($A43, 'Income Schedule'!$H:$H, 0)))</f>
        <v/>
      </c>
      <c r="C43" s="56" t="str">
        <f>IF($A43="","",INDEX('Income Schedule'!$C:$C, MATCH($A43, 'Income Schedule'!$H:$H, 0)))</f>
        <v/>
      </c>
      <c r="D43" s="57" t="str">
        <f t="shared" si="0"/>
        <v/>
      </c>
      <c r="E43" s="57" t="str">
        <f>IF($A43="","",INDEX('Income Schedule'!$D:$D, MATCH($A43, 'Income Schedule'!$H:$H, 0)))</f>
        <v/>
      </c>
      <c r="F43" s="54" t="str">
        <f>IF($A43="","",INDEX('Income Schedule'!$E:$E, MATCH($A43, 'Income Schedule'!$H:$H, 0)))</f>
        <v/>
      </c>
    </row>
    <row r="44" spans="1:6" x14ac:dyDescent="0.3">
      <c r="A44" s="59" t="str">
        <f>IFERROR(SMALL('Income Schedule'!$H$3:$H$96,32),"")</f>
        <v/>
      </c>
      <c r="B44" s="58" t="str">
        <f>IF($A44="","",INDEX('Income Schedule'!$B:$B, MATCH($A44, 'Income Schedule'!$H:$H, 0)))</f>
        <v/>
      </c>
      <c r="C44" s="60" t="str">
        <f>IF($A44="","",INDEX('Income Schedule'!$C:$C, MATCH($A44, 'Income Schedule'!$H:$H, 0)))</f>
        <v/>
      </c>
      <c r="D44" s="61" t="str">
        <f t="shared" si="0"/>
        <v/>
      </c>
      <c r="E44" s="61" t="str">
        <f>IF($A44="","",INDEX('Income Schedule'!$D:$D, MATCH($A44, 'Income Schedule'!$H:$H, 0)))</f>
        <v/>
      </c>
      <c r="F44" s="58" t="str">
        <f>IF($A44="","",INDEX('Income Schedule'!$E:$E, MATCH($A44, 'Income Schedule'!$H:$H, 0)))</f>
        <v/>
      </c>
    </row>
    <row r="45" spans="1:6" x14ac:dyDescent="0.3">
      <c r="A45" s="55" t="str">
        <f>IFERROR(SMALL('Income Schedule'!$H$3:$H$96,33),"")</f>
        <v/>
      </c>
      <c r="B45" s="54" t="str">
        <f>IF($A45="","",INDEX('Income Schedule'!$B:$B, MATCH($A45, 'Income Schedule'!$H:$H, 0)))</f>
        <v/>
      </c>
      <c r="C45" s="56" t="str">
        <f>IF($A45="","",INDEX('Income Schedule'!$C:$C, MATCH($A45, 'Income Schedule'!$H:$H, 0)))</f>
        <v/>
      </c>
      <c r="D45" s="57" t="str">
        <f t="shared" ref="D45:D72" si="1">IF($A45="","",$A45-$B$4)</f>
        <v/>
      </c>
      <c r="E45" s="57" t="str">
        <f>IF($A45="","",INDEX('Income Schedule'!$D:$D, MATCH($A45, 'Income Schedule'!$H:$H, 0)))</f>
        <v/>
      </c>
      <c r="F45" s="54" t="str">
        <f>IF($A45="","",INDEX('Income Schedule'!$E:$E, MATCH($A45, 'Income Schedule'!$H:$H, 0)))</f>
        <v/>
      </c>
    </row>
    <row r="46" spans="1:6" x14ac:dyDescent="0.3">
      <c r="A46" s="59" t="str">
        <f>IFERROR(SMALL('Income Schedule'!$H$3:$H$96,34),"")</f>
        <v/>
      </c>
      <c r="B46" s="58" t="str">
        <f>IF($A46="","",INDEX('Income Schedule'!$B:$B, MATCH($A46, 'Income Schedule'!$H:$H, 0)))</f>
        <v/>
      </c>
      <c r="C46" s="60" t="str">
        <f>IF($A46="","",INDEX('Income Schedule'!$C:$C, MATCH($A46, 'Income Schedule'!$H:$H, 0)))</f>
        <v/>
      </c>
      <c r="D46" s="61" t="str">
        <f t="shared" si="1"/>
        <v/>
      </c>
      <c r="E46" s="61" t="str">
        <f>IF($A46="","",INDEX('Income Schedule'!$D:$D, MATCH($A46, 'Income Schedule'!$H:$H, 0)))</f>
        <v/>
      </c>
      <c r="F46" s="58" t="str">
        <f>IF($A46="","",INDEX('Income Schedule'!$E:$E, MATCH($A46, 'Income Schedule'!$H:$H, 0)))</f>
        <v/>
      </c>
    </row>
    <row r="47" spans="1:6" x14ac:dyDescent="0.3">
      <c r="A47" s="55" t="str">
        <f>IFERROR(SMALL('Income Schedule'!$H$3:$H$96,35),"")</f>
        <v/>
      </c>
      <c r="B47" s="54" t="str">
        <f>IF($A47="","",INDEX('Income Schedule'!$B:$B, MATCH($A47, 'Income Schedule'!$H:$H, 0)))</f>
        <v/>
      </c>
      <c r="C47" s="56" t="str">
        <f>IF($A47="","",INDEX('Income Schedule'!$C:$C, MATCH($A47, 'Income Schedule'!$H:$H, 0)))</f>
        <v/>
      </c>
      <c r="D47" s="57" t="str">
        <f t="shared" si="1"/>
        <v/>
      </c>
      <c r="E47" s="57" t="str">
        <f>IF($A47="","",INDEX('Income Schedule'!$D:$D, MATCH($A47, 'Income Schedule'!$H:$H, 0)))</f>
        <v/>
      </c>
      <c r="F47" s="54" t="str">
        <f>IF($A47="","",INDEX('Income Schedule'!$E:$E, MATCH($A47, 'Income Schedule'!$H:$H, 0)))</f>
        <v/>
      </c>
    </row>
    <row r="48" spans="1:6" x14ac:dyDescent="0.3">
      <c r="A48" s="59" t="str">
        <f>IFERROR(SMALL('Income Schedule'!$H$3:$H$96,36),"")</f>
        <v/>
      </c>
      <c r="B48" s="58" t="str">
        <f>IF($A48="","",INDEX('Income Schedule'!$B:$B, MATCH($A48, 'Income Schedule'!$H:$H, 0)))</f>
        <v/>
      </c>
      <c r="C48" s="60" t="str">
        <f>IF($A48="","",INDEX('Income Schedule'!$C:$C, MATCH($A48, 'Income Schedule'!$H:$H, 0)))</f>
        <v/>
      </c>
      <c r="D48" s="61" t="str">
        <f t="shared" si="1"/>
        <v/>
      </c>
      <c r="E48" s="61" t="str">
        <f>IF($A48="","",INDEX('Income Schedule'!$D:$D, MATCH($A48, 'Income Schedule'!$H:$H, 0)))</f>
        <v/>
      </c>
      <c r="F48" s="58" t="str">
        <f>IF($A48="","",INDEX('Income Schedule'!$E:$E, MATCH($A48, 'Income Schedule'!$H:$H, 0)))</f>
        <v/>
      </c>
    </row>
    <row r="49" spans="1:6" x14ac:dyDescent="0.3">
      <c r="A49" s="55" t="str">
        <f>IFERROR(SMALL('Income Schedule'!$H$3:$H$96,37),"")</f>
        <v/>
      </c>
      <c r="B49" s="54" t="str">
        <f>IF($A49="","",INDEX('Income Schedule'!$B:$B, MATCH($A49, 'Income Schedule'!$H:$H, 0)))</f>
        <v/>
      </c>
      <c r="C49" s="56" t="str">
        <f>IF($A49="","",INDEX('Income Schedule'!$C:$C, MATCH($A49, 'Income Schedule'!$H:$H, 0)))</f>
        <v/>
      </c>
      <c r="D49" s="57" t="str">
        <f t="shared" si="1"/>
        <v/>
      </c>
      <c r="E49" s="57" t="str">
        <f>IF($A49="","",INDEX('Income Schedule'!$D:$D, MATCH($A49, 'Income Schedule'!$H:$H, 0)))</f>
        <v/>
      </c>
      <c r="F49" s="54" t="str">
        <f>IF($A49="","",INDEX('Income Schedule'!$E:$E, MATCH($A49, 'Income Schedule'!$H:$H, 0)))</f>
        <v/>
      </c>
    </row>
    <row r="50" spans="1:6" x14ac:dyDescent="0.3">
      <c r="A50" s="59" t="str">
        <f>IFERROR(SMALL('Income Schedule'!$H$3:$H$96,38),"")</f>
        <v/>
      </c>
      <c r="B50" s="58" t="str">
        <f>IF($A50="","",INDEX('Income Schedule'!$B:$B, MATCH($A50, 'Income Schedule'!$H:$H, 0)))</f>
        <v/>
      </c>
      <c r="C50" s="60" t="str">
        <f>IF($A50="","",INDEX('Income Schedule'!$C:$C, MATCH($A50, 'Income Schedule'!$H:$H, 0)))</f>
        <v/>
      </c>
      <c r="D50" s="61" t="str">
        <f t="shared" si="1"/>
        <v/>
      </c>
      <c r="E50" s="61" t="str">
        <f>IF($A50="","",INDEX('Income Schedule'!$D:$D, MATCH($A50, 'Income Schedule'!$H:$H, 0)))</f>
        <v/>
      </c>
      <c r="F50" s="58" t="str">
        <f>IF($A50="","",INDEX('Income Schedule'!$E:$E, MATCH($A50, 'Income Schedule'!$H:$H, 0)))</f>
        <v/>
      </c>
    </row>
    <row r="51" spans="1:6" x14ac:dyDescent="0.3">
      <c r="A51" s="55" t="str">
        <f>IFERROR(SMALL('Income Schedule'!$H$3:$H$96,39),"")</f>
        <v/>
      </c>
      <c r="B51" s="54" t="str">
        <f>IF($A51="","",INDEX('Income Schedule'!$B:$B, MATCH($A51, 'Income Schedule'!$H:$H, 0)))</f>
        <v/>
      </c>
      <c r="C51" s="56" t="str">
        <f>IF($A51="","",INDEX('Income Schedule'!$C:$C, MATCH($A51, 'Income Schedule'!$H:$H, 0)))</f>
        <v/>
      </c>
      <c r="D51" s="57" t="str">
        <f t="shared" si="1"/>
        <v/>
      </c>
      <c r="E51" s="57" t="str">
        <f>IF($A51="","",INDEX('Income Schedule'!$D:$D, MATCH($A51, 'Income Schedule'!$H:$H, 0)))</f>
        <v/>
      </c>
      <c r="F51" s="54" t="str">
        <f>IF($A51="","",INDEX('Income Schedule'!$E:$E, MATCH($A51, 'Income Schedule'!$H:$H, 0)))</f>
        <v/>
      </c>
    </row>
    <row r="52" spans="1:6" x14ac:dyDescent="0.3">
      <c r="A52" s="59" t="str">
        <f>IFERROR(SMALL('Income Schedule'!$H$3:$H$96,40),"")</f>
        <v/>
      </c>
      <c r="B52" s="58" t="str">
        <f>IF($A52="","",INDEX('Income Schedule'!$B:$B, MATCH($A52, 'Income Schedule'!$H:$H, 0)))</f>
        <v/>
      </c>
      <c r="C52" s="60" t="str">
        <f>IF($A52="","",INDEX('Income Schedule'!$C:$C, MATCH($A52, 'Income Schedule'!$H:$H, 0)))</f>
        <v/>
      </c>
      <c r="D52" s="61" t="str">
        <f t="shared" si="1"/>
        <v/>
      </c>
      <c r="E52" s="61" t="str">
        <f>IF($A52="","",INDEX('Income Schedule'!$D:$D, MATCH($A52, 'Income Schedule'!$H:$H, 0)))</f>
        <v/>
      </c>
      <c r="F52" s="58" t="str">
        <f>IF($A52="","",INDEX('Income Schedule'!$E:$E, MATCH($A52, 'Income Schedule'!$H:$H, 0)))</f>
        <v/>
      </c>
    </row>
    <row r="53" spans="1:6" x14ac:dyDescent="0.3">
      <c r="A53" s="55" t="str">
        <f>IFERROR(SMALL('Income Schedule'!$H$3:$H$96,41),"")</f>
        <v/>
      </c>
      <c r="B53" s="54" t="str">
        <f>IF($A53="","",INDEX('Income Schedule'!$B:$B, MATCH($A53, 'Income Schedule'!$H:$H, 0)))</f>
        <v/>
      </c>
      <c r="C53" s="56" t="str">
        <f>IF($A53="","",INDEX('Income Schedule'!$C:$C, MATCH($A53, 'Income Schedule'!$H:$H, 0)))</f>
        <v/>
      </c>
      <c r="D53" s="57" t="str">
        <f t="shared" si="1"/>
        <v/>
      </c>
      <c r="E53" s="57" t="str">
        <f>IF($A53="","",INDEX('Income Schedule'!$D:$D, MATCH($A53, 'Income Schedule'!$H:$H, 0)))</f>
        <v/>
      </c>
      <c r="F53" s="54" t="str">
        <f>IF($A53="","",INDEX('Income Schedule'!$E:$E, MATCH($A53, 'Income Schedule'!$H:$H, 0)))</f>
        <v/>
      </c>
    </row>
    <row r="54" spans="1:6" x14ac:dyDescent="0.3">
      <c r="A54" s="59" t="str">
        <f>IFERROR(SMALL('Income Schedule'!$H$3:$H$96,42),"")</f>
        <v/>
      </c>
      <c r="B54" s="58" t="str">
        <f>IF($A54="","",INDEX('Income Schedule'!$B:$B, MATCH($A54, 'Income Schedule'!$H:$H, 0)))</f>
        <v/>
      </c>
      <c r="C54" s="60" t="str">
        <f>IF($A54="","",INDEX('Income Schedule'!$C:$C, MATCH($A54, 'Income Schedule'!$H:$H, 0)))</f>
        <v/>
      </c>
      <c r="D54" s="61" t="str">
        <f t="shared" si="1"/>
        <v/>
      </c>
      <c r="E54" s="61" t="str">
        <f>IF($A54="","",INDEX('Income Schedule'!$D:$D, MATCH($A54, 'Income Schedule'!$H:$H, 0)))</f>
        <v/>
      </c>
      <c r="F54" s="58" t="str">
        <f>IF($A54="","",INDEX('Income Schedule'!$E:$E, MATCH($A54, 'Income Schedule'!$H:$H, 0)))</f>
        <v/>
      </c>
    </row>
    <row r="55" spans="1:6" x14ac:dyDescent="0.3">
      <c r="A55" s="55" t="str">
        <f>IFERROR(SMALL('Income Schedule'!$H$3:$H$96,43),"")</f>
        <v/>
      </c>
      <c r="B55" s="54" t="str">
        <f>IF($A55="","",INDEX('Income Schedule'!$B:$B, MATCH($A55, 'Income Schedule'!$H:$H, 0)))</f>
        <v/>
      </c>
      <c r="C55" s="56" t="str">
        <f>IF($A55="","",INDEX('Income Schedule'!$C:$C, MATCH($A55, 'Income Schedule'!$H:$H, 0)))</f>
        <v/>
      </c>
      <c r="D55" s="57" t="str">
        <f t="shared" si="1"/>
        <v/>
      </c>
      <c r="E55" s="57" t="str">
        <f>IF($A55="","",INDEX('Income Schedule'!$D:$D, MATCH($A55, 'Income Schedule'!$H:$H, 0)))</f>
        <v/>
      </c>
      <c r="F55" s="54" t="str">
        <f>IF($A55="","",INDEX('Income Schedule'!$E:$E, MATCH($A55, 'Income Schedule'!$H:$H, 0)))</f>
        <v/>
      </c>
    </row>
    <row r="56" spans="1:6" x14ac:dyDescent="0.3">
      <c r="A56" s="59" t="str">
        <f>IFERROR(SMALL('Income Schedule'!$H$3:$H$96,44),"")</f>
        <v/>
      </c>
      <c r="B56" s="58" t="str">
        <f>IF($A56="","",INDEX('Income Schedule'!$B:$B, MATCH($A56, 'Income Schedule'!$H:$H, 0)))</f>
        <v/>
      </c>
      <c r="C56" s="60" t="str">
        <f>IF($A56="","",INDEX('Income Schedule'!$C:$C, MATCH($A56, 'Income Schedule'!$H:$H, 0)))</f>
        <v/>
      </c>
      <c r="D56" s="61" t="str">
        <f t="shared" si="1"/>
        <v/>
      </c>
      <c r="E56" s="61" t="str">
        <f>IF($A56="","",INDEX('Income Schedule'!$D:$D, MATCH($A56, 'Income Schedule'!$H:$H, 0)))</f>
        <v/>
      </c>
      <c r="F56" s="58" t="str">
        <f>IF($A56="","",INDEX('Income Schedule'!$E:$E, MATCH($A56, 'Income Schedule'!$H:$H, 0)))</f>
        <v/>
      </c>
    </row>
    <row r="57" spans="1:6" x14ac:dyDescent="0.3">
      <c r="A57" s="55" t="str">
        <f>IFERROR(SMALL('Income Schedule'!$H$3:$H$96,45),"")</f>
        <v/>
      </c>
      <c r="B57" s="54" t="str">
        <f>IF($A57="","",INDEX('Income Schedule'!$B:$B, MATCH($A57, 'Income Schedule'!$H:$H, 0)))</f>
        <v/>
      </c>
      <c r="C57" s="56" t="str">
        <f>IF($A57="","",INDEX('Income Schedule'!$C:$C, MATCH($A57, 'Income Schedule'!$H:$H, 0)))</f>
        <v/>
      </c>
      <c r="D57" s="57" t="str">
        <f t="shared" si="1"/>
        <v/>
      </c>
      <c r="E57" s="57" t="str">
        <f>IF($A57="","",INDEX('Income Schedule'!$D:$D, MATCH($A57, 'Income Schedule'!$H:$H, 0)))</f>
        <v/>
      </c>
      <c r="F57" s="54" t="str">
        <f>IF($A57="","",INDEX('Income Schedule'!$E:$E, MATCH($A57, 'Income Schedule'!$H:$H, 0)))</f>
        <v/>
      </c>
    </row>
    <row r="58" spans="1:6" x14ac:dyDescent="0.3">
      <c r="A58" s="59" t="str">
        <f>IFERROR(SMALL('Income Schedule'!$H$3:$H$96,46),"")</f>
        <v/>
      </c>
      <c r="B58" s="58" t="str">
        <f>IF($A58="","",INDEX('Income Schedule'!$B:$B, MATCH($A58, 'Income Schedule'!$H:$H, 0)))</f>
        <v/>
      </c>
      <c r="C58" s="60" t="str">
        <f>IF($A58="","",INDEX('Income Schedule'!$C:$C, MATCH($A58, 'Income Schedule'!$H:$H, 0)))</f>
        <v/>
      </c>
      <c r="D58" s="61" t="str">
        <f t="shared" si="1"/>
        <v/>
      </c>
      <c r="E58" s="61" t="str">
        <f>IF($A58="","",INDEX('Income Schedule'!$D:$D, MATCH($A58, 'Income Schedule'!$H:$H, 0)))</f>
        <v/>
      </c>
      <c r="F58" s="58" t="str">
        <f>IF($A58="","",INDEX('Income Schedule'!$E:$E, MATCH($A58, 'Income Schedule'!$H:$H, 0)))</f>
        <v/>
      </c>
    </row>
    <row r="59" spans="1:6" x14ac:dyDescent="0.3">
      <c r="A59" s="55" t="str">
        <f>IFERROR(SMALL('Income Schedule'!$H$3:$H$96,47),"")</f>
        <v/>
      </c>
      <c r="B59" s="54" t="str">
        <f>IF($A59="","",INDEX('Income Schedule'!$B:$B, MATCH($A59, 'Income Schedule'!$H:$H, 0)))</f>
        <v/>
      </c>
      <c r="C59" s="56" t="str">
        <f>IF($A59="","",INDEX('Income Schedule'!$C:$C, MATCH($A59, 'Income Schedule'!$H:$H, 0)))</f>
        <v/>
      </c>
      <c r="D59" s="57" t="str">
        <f t="shared" si="1"/>
        <v/>
      </c>
      <c r="E59" s="57" t="str">
        <f>IF($A59="","",INDEX('Income Schedule'!$D:$D, MATCH($A59, 'Income Schedule'!$H:$H, 0)))</f>
        <v/>
      </c>
      <c r="F59" s="54" t="str">
        <f>IF($A59="","",INDEX('Income Schedule'!$E:$E, MATCH($A59, 'Income Schedule'!$H:$H, 0)))</f>
        <v/>
      </c>
    </row>
    <row r="60" spans="1:6" x14ac:dyDescent="0.3">
      <c r="A60" s="59" t="str">
        <f>IFERROR(SMALL('Income Schedule'!$H$3:$H$96,48),"")</f>
        <v/>
      </c>
      <c r="B60" s="58" t="str">
        <f>IF($A60="","",INDEX('Income Schedule'!$B:$B, MATCH($A60, 'Income Schedule'!$H:$H, 0)))</f>
        <v/>
      </c>
      <c r="C60" s="60" t="str">
        <f>IF($A60="","",INDEX('Income Schedule'!$C:$C, MATCH($A60, 'Income Schedule'!$H:$H, 0)))</f>
        <v/>
      </c>
      <c r="D60" s="61" t="str">
        <f t="shared" si="1"/>
        <v/>
      </c>
      <c r="E60" s="61" t="str">
        <f>IF($A60="","",INDEX('Income Schedule'!$D:$D, MATCH($A60, 'Income Schedule'!$H:$H, 0)))</f>
        <v/>
      </c>
      <c r="F60" s="58" t="str">
        <f>IF($A60="","",INDEX('Income Schedule'!$E:$E, MATCH($A60, 'Income Schedule'!$H:$H, 0)))</f>
        <v/>
      </c>
    </row>
    <row r="61" spans="1:6" x14ac:dyDescent="0.3">
      <c r="A61" s="55" t="str">
        <f>IFERROR(SMALL('Income Schedule'!$H$3:$H$96,49),"")</f>
        <v/>
      </c>
      <c r="B61" s="54" t="str">
        <f>IF($A61="","",INDEX('Income Schedule'!$B:$B, MATCH($A61, 'Income Schedule'!$H:$H, 0)))</f>
        <v/>
      </c>
      <c r="C61" s="56" t="str">
        <f>IF($A61="","",INDEX('Income Schedule'!$C:$C, MATCH($A61, 'Income Schedule'!$H:$H, 0)))</f>
        <v/>
      </c>
      <c r="D61" s="57" t="str">
        <f t="shared" si="1"/>
        <v/>
      </c>
      <c r="E61" s="57" t="str">
        <f>IF($A61="","",INDEX('Income Schedule'!$D:$D, MATCH($A61, 'Income Schedule'!$H:$H, 0)))</f>
        <v/>
      </c>
      <c r="F61" s="54" t="str">
        <f>IF($A61="","",INDEX('Income Schedule'!$E:$E, MATCH($A61, 'Income Schedule'!$H:$H, 0)))</f>
        <v/>
      </c>
    </row>
    <row r="62" spans="1:6" x14ac:dyDescent="0.3">
      <c r="A62" s="59" t="str">
        <f>IFERROR(SMALL('Income Schedule'!$H$3:$H$96,50),"")</f>
        <v/>
      </c>
      <c r="B62" s="58" t="str">
        <f>IF($A62="","",INDEX('Income Schedule'!$B:$B, MATCH($A62, 'Income Schedule'!$H:$H, 0)))</f>
        <v/>
      </c>
      <c r="C62" s="60" t="str">
        <f>IF($A62="","",INDEX('Income Schedule'!$C:$C, MATCH($A62, 'Income Schedule'!$H:$H, 0)))</f>
        <v/>
      </c>
      <c r="D62" s="61" t="str">
        <f t="shared" si="1"/>
        <v/>
      </c>
      <c r="E62" s="61" t="str">
        <f>IF($A62="","",INDEX('Income Schedule'!$D:$D, MATCH($A62, 'Income Schedule'!$H:$H, 0)))</f>
        <v/>
      </c>
      <c r="F62" s="58" t="str">
        <f>IF($A62="","",INDEX('Income Schedule'!$E:$E, MATCH($A62, 'Income Schedule'!$H:$H, 0)))</f>
        <v/>
      </c>
    </row>
    <row r="63" spans="1:6" x14ac:dyDescent="0.3">
      <c r="A63" s="55" t="str">
        <f>IFERROR(SMALL('Income Schedule'!$H$3:$H$96,51),"")</f>
        <v/>
      </c>
      <c r="B63" s="54" t="str">
        <f>IF($A63="","",INDEX('Income Schedule'!$B:$B, MATCH($A63, 'Income Schedule'!$H:$H, 0)))</f>
        <v/>
      </c>
      <c r="C63" s="56" t="str">
        <f>IF($A63="","",INDEX('Income Schedule'!$C:$C, MATCH($A63, 'Income Schedule'!$H:$H, 0)))</f>
        <v/>
      </c>
      <c r="D63" s="57" t="str">
        <f t="shared" si="1"/>
        <v/>
      </c>
      <c r="E63" s="57" t="str">
        <f>IF($A63="","",INDEX('Income Schedule'!$D:$D, MATCH($A63, 'Income Schedule'!$H:$H, 0)))</f>
        <v/>
      </c>
      <c r="F63" s="54" t="str">
        <f>IF($A63="","",INDEX('Income Schedule'!$E:$E, MATCH($A63, 'Income Schedule'!$H:$H, 0)))</f>
        <v/>
      </c>
    </row>
    <row r="64" spans="1:6" x14ac:dyDescent="0.3">
      <c r="A64" s="59" t="str">
        <f>IFERROR(SMALL('Income Schedule'!$H$3:$H$96,52),"")</f>
        <v/>
      </c>
      <c r="B64" s="58" t="str">
        <f>IF($A64="","",INDEX('Income Schedule'!$B:$B, MATCH($A64, 'Income Schedule'!$H:$H, 0)))</f>
        <v/>
      </c>
      <c r="C64" s="60" t="str">
        <f>IF($A64="","",INDEX('Income Schedule'!$C:$C, MATCH($A64, 'Income Schedule'!$H:$H, 0)))</f>
        <v/>
      </c>
      <c r="D64" s="61" t="str">
        <f t="shared" si="1"/>
        <v/>
      </c>
      <c r="E64" s="61" t="str">
        <f>IF($A64="","",INDEX('Income Schedule'!$D:$D, MATCH($A64, 'Income Schedule'!$H:$H, 0)))</f>
        <v/>
      </c>
      <c r="F64" s="58" t="str">
        <f>IF($A64="","",INDEX('Income Schedule'!$E:$E, MATCH($A64, 'Income Schedule'!$H:$H, 0)))</f>
        <v/>
      </c>
    </row>
    <row r="65" spans="1:6" x14ac:dyDescent="0.3">
      <c r="A65" s="55" t="str">
        <f>IFERROR(SMALL('Income Schedule'!$H$3:$H$96,53),"")</f>
        <v/>
      </c>
      <c r="B65" s="54" t="str">
        <f>IF($A65="","",INDEX('Income Schedule'!$B:$B, MATCH($A65, 'Income Schedule'!$H:$H, 0)))</f>
        <v/>
      </c>
      <c r="C65" s="56" t="str">
        <f>IF($A65="","",INDEX('Income Schedule'!$C:$C, MATCH($A65, 'Income Schedule'!$H:$H, 0)))</f>
        <v/>
      </c>
      <c r="D65" s="57" t="str">
        <f t="shared" si="1"/>
        <v/>
      </c>
      <c r="E65" s="57" t="str">
        <f>IF($A65="","",INDEX('Income Schedule'!$D:$D, MATCH($A65, 'Income Schedule'!$H:$H, 0)))</f>
        <v/>
      </c>
      <c r="F65" s="54" t="str">
        <f>IF($A65="","",INDEX('Income Schedule'!$E:$E, MATCH($A65, 'Income Schedule'!$H:$H, 0)))</f>
        <v/>
      </c>
    </row>
    <row r="66" spans="1:6" x14ac:dyDescent="0.3">
      <c r="A66" s="59" t="str">
        <f>IFERROR(SMALL('Income Schedule'!$H$3:$H$96,54),"")</f>
        <v/>
      </c>
      <c r="B66" s="58" t="str">
        <f>IF($A66="","",INDEX('Income Schedule'!$B:$B, MATCH($A66, 'Income Schedule'!$H:$H, 0)))</f>
        <v/>
      </c>
      <c r="C66" s="60" t="str">
        <f>IF($A66="","",INDEX('Income Schedule'!$C:$C, MATCH($A66, 'Income Schedule'!$H:$H, 0)))</f>
        <v/>
      </c>
      <c r="D66" s="61" t="str">
        <f t="shared" si="1"/>
        <v/>
      </c>
      <c r="E66" s="61" t="str">
        <f>IF($A66="","",INDEX('Income Schedule'!$D:$D, MATCH($A66, 'Income Schedule'!$H:$H, 0)))</f>
        <v/>
      </c>
      <c r="F66" s="58" t="str">
        <f>IF($A66="","",INDEX('Income Schedule'!$E:$E, MATCH($A66, 'Income Schedule'!$H:$H, 0)))</f>
        <v/>
      </c>
    </row>
    <row r="67" spans="1:6" x14ac:dyDescent="0.3">
      <c r="A67" s="55" t="str">
        <f>IFERROR(SMALL('Income Schedule'!$H$3:$H$96,55),"")</f>
        <v/>
      </c>
      <c r="B67" s="54" t="str">
        <f>IF($A67="","",INDEX('Income Schedule'!$B:$B, MATCH($A67, 'Income Schedule'!$H:$H, 0)))</f>
        <v/>
      </c>
      <c r="C67" s="56" t="str">
        <f>IF($A67="","",INDEX('Income Schedule'!$C:$C, MATCH($A67, 'Income Schedule'!$H:$H, 0)))</f>
        <v/>
      </c>
      <c r="D67" s="57" t="str">
        <f t="shared" si="1"/>
        <v/>
      </c>
      <c r="E67" s="57" t="str">
        <f>IF($A67="","",INDEX('Income Schedule'!$D:$D, MATCH($A67, 'Income Schedule'!$H:$H, 0)))</f>
        <v/>
      </c>
      <c r="F67" s="54" t="str">
        <f>IF($A67="","",INDEX('Income Schedule'!$E:$E, MATCH($A67, 'Income Schedule'!$H:$H, 0)))</f>
        <v/>
      </c>
    </row>
    <row r="68" spans="1:6" x14ac:dyDescent="0.3">
      <c r="A68" s="59" t="str">
        <f>IFERROR(SMALL('Income Schedule'!$H$3:$H$96,56),"")</f>
        <v/>
      </c>
      <c r="B68" s="58" t="str">
        <f>IF($A68="","",INDEX('Income Schedule'!$B:$B, MATCH($A68, 'Income Schedule'!$H:$H, 0)))</f>
        <v/>
      </c>
      <c r="C68" s="60" t="str">
        <f>IF($A68="","",INDEX('Income Schedule'!$C:$C, MATCH($A68, 'Income Schedule'!$H:$H, 0)))</f>
        <v/>
      </c>
      <c r="D68" s="61" t="str">
        <f t="shared" si="1"/>
        <v/>
      </c>
      <c r="E68" s="61" t="str">
        <f>IF($A68="","",INDEX('Income Schedule'!$D:$D, MATCH($A68, 'Income Schedule'!$H:$H, 0)))</f>
        <v/>
      </c>
      <c r="F68" s="58" t="str">
        <f>IF($A68="","",INDEX('Income Schedule'!$E:$E, MATCH($A68, 'Income Schedule'!$H:$H, 0)))</f>
        <v/>
      </c>
    </row>
    <row r="69" spans="1:6" x14ac:dyDescent="0.3">
      <c r="A69" s="55" t="str">
        <f>IFERROR(SMALL('Income Schedule'!$H$3:$H$96,57),"")</f>
        <v/>
      </c>
      <c r="B69" s="54" t="str">
        <f>IF($A69="","",INDEX('Income Schedule'!$B:$B, MATCH($A69, 'Income Schedule'!$H:$H, 0)))</f>
        <v/>
      </c>
      <c r="C69" s="56" t="str">
        <f>IF($A69="","",INDEX('Income Schedule'!$C:$C, MATCH($A69, 'Income Schedule'!$H:$H, 0)))</f>
        <v/>
      </c>
      <c r="D69" s="57" t="str">
        <f t="shared" si="1"/>
        <v/>
      </c>
      <c r="E69" s="57" t="str">
        <f>IF($A69="","",INDEX('Income Schedule'!$D:$D, MATCH($A69, 'Income Schedule'!$H:$H, 0)))</f>
        <v/>
      </c>
      <c r="F69" s="54" t="str">
        <f>IF($A69="","",INDEX('Income Schedule'!$E:$E, MATCH($A69, 'Income Schedule'!$H:$H, 0)))</f>
        <v/>
      </c>
    </row>
    <row r="70" spans="1:6" x14ac:dyDescent="0.3">
      <c r="A70" s="59" t="str">
        <f>IFERROR(SMALL('Income Schedule'!$H$3:$H$96,58),"")</f>
        <v/>
      </c>
      <c r="B70" s="58" t="str">
        <f>IF($A70="","",INDEX('Income Schedule'!$B:$B, MATCH($A70, 'Income Schedule'!$H:$H, 0)))</f>
        <v/>
      </c>
      <c r="C70" s="60" t="str">
        <f>IF($A70="","",INDEX('Income Schedule'!$C:$C, MATCH($A70, 'Income Schedule'!$H:$H, 0)))</f>
        <v/>
      </c>
      <c r="D70" s="61" t="str">
        <f t="shared" si="1"/>
        <v/>
      </c>
      <c r="E70" s="61" t="str">
        <f>IF($A70="","",INDEX('Income Schedule'!$D:$D, MATCH($A70, 'Income Schedule'!$H:$H, 0)))</f>
        <v/>
      </c>
      <c r="F70" s="58" t="str">
        <f>IF($A70="","",INDEX('Income Schedule'!$E:$E, MATCH($A70, 'Income Schedule'!$H:$H, 0)))</f>
        <v/>
      </c>
    </row>
    <row r="71" spans="1:6" x14ac:dyDescent="0.3">
      <c r="A71" s="55" t="str">
        <f>IFERROR(SMALL('Income Schedule'!$H$3:$H$96,59),"")</f>
        <v/>
      </c>
      <c r="B71" s="54" t="str">
        <f>IF($A71="","",INDEX('Income Schedule'!$B:$B, MATCH($A71, 'Income Schedule'!$H:$H, 0)))</f>
        <v/>
      </c>
      <c r="C71" s="56" t="str">
        <f>IF($A71="","",INDEX('Income Schedule'!$C:$C, MATCH($A71, 'Income Schedule'!$H:$H, 0)))</f>
        <v/>
      </c>
      <c r="D71" s="57" t="str">
        <f t="shared" si="1"/>
        <v/>
      </c>
      <c r="E71" s="57" t="str">
        <f>IF($A71="","",INDEX('Income Schedule'!$D:$D, MATCH($A71, 'Income Schedule'!$H:$H, 0)))</f>
        <v/>
      </c>
      <c r="F71" s="54" t="str">
        <f>IF($A71="","",INDEX('Income Schedule'!$E:$E, MATCH($A71, 'Income Schedule'!$H:$H, 0)))</f>
        <v/>
      </c>
    </row>
    <row r="72" spans="1:6" x14ac:dyDescent="0.3">
      <c r="A72" s="59" t="str">
        <f>IFERROR(SMALL('Income Schedule'!$H$3:$H$96,60),"")</f>
        <v/>
      </c>
      <c r="B72" s="58" t="str">
        <f>IF($A72="","",INDEX('Income Schedule'!$B:$B, MATCH($A72, 'Income Schedule'!$H:$H, 0)))</f>
        <v/>
      </c>
      <c r="C72" s="60" t="str">
        <f>IF($A72="","",INDEX('Income Schedule'!$C:$C, MATCH($A72, 'Income Schedule'!$H:$H, 0)))</f>
        <v/>
      </c>
      <c r="D72" s="61" t="str">
        <f t="shared" si="1"/>
        <v/>
      </c>
      <c r="E72" s="61" t="str">
        <f>IF($A72="","",INDEX('Income Schedule'!$D:$D, MATCH($A72, 'Income Schedule'!$H:$H, 0)))</f>
        <v/>
      </c>
      <c r="F72" s="58" t="str">
        <f>IF($A72="","",INDEX('Income Schedule'!$E:$E, MATCH($A72, 'Income Schedule'!$H:$H, 0)))</f>
        <v/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4C759"/>
  </sheetPr>
  <dimension ref="A1:O131"/>
  <sheetViews>
    <sheetView workbookViewId="0">
      <pane ySplit="11" topLeftCell="A12" activePane="bottomLeft" state="frozen"/>
      <selection pane="bottomLeft" activeCell="D8" sqref="D8"/>
    </sheetView>
  </sheetViews>
  <sheetFormatPr defaultRowHeight="14.4" x14ac:dyDescent="0.3"/>
  <cols>
    <col min="1" max="2" width="14" customWidth="1"/>
    <col min="3" max="4" width="16" customWidth="1"/>
    <col min="5" max="5" width="14" customWidth="1"/>
    <col min="6" max="6" width="18" customWidth="1"/>
    <col min="7" max="7" width="20" customWidth="1"/>
    <col min="8" max="8" width="18" customWidth="1"/>
  </cols>
  <sheetData>
    <row r="1" spans="1:15" ht="23.4" customHeight="1" x14ac:dyDescent="0.45">
      <c r="A1" s="48" t="s">
        <v>204</v>
      </c>
    </row>
    <row r="2" spans="1:15" x14ac:dyDescent="0.3">
      <c r="A2" s="49" t="s">
        <v>205</v>
      </c>
    </row>
    <row r="4" spans="1:15" x14ac:dyDescent="0.3">
      <c r="A4" s="50" t="s">
        <v>139</v>
      </c>
      <c r="B4" s="52">
        <f>Dashboard!E4</f>
        <v>46020</v>
      </c>
      <c r="D4" s="50" t="s">
        <v>195</v>
      </c>
      <c r="E4" s="51">
        <f>'Upcoming Income'!E4</f>
        <v>30</v>
      </c>
      <c r="G4" s="50" t="s">
        <v>206</v>
      </c>
      <c r="H4" s="72">
        <v>0</v>
      </c>
    </row>
    <row r="6" spans="1:15" ht="36" customHeight="1" x14ac:dyDescent="0.3">
      <c r="A6" s="65" t="s">
        <v>207</v>
      </c>
      <c r="B6" s="66"/>
      <c r="C6" s="66"/>
      <c r="E6" s="65" t="s">
        <v>208</v>
      </c>
      <c r="F6" s="66"/>
      <c r="G6" s="66"/>
      <c r="I6" s="65" t="s">
        <v>209</v>
      </c>
      <c r="J6" s="66"/>
      <c r="K6" s="66"/>
      <c r="M6" s="65" t="s">
        <v>210</v>
      </c>
      <c r="N6" s="66"/>
      <c r="O6" s="66"/>
    </row>
    <row r="7" spans="1:15" ht="23.4" customHeight="1" x14ac:dyDescent="0.3">
      <c r="A7" s="32">
        <f>SUM(E12:E500)</f>
        <v>3607</v>
      </c>
      <c r="B7" s="66"/>
      <c r="C7" s="66"/>
      <c r="E7" s="32">
        <f>H4+SUM(E12:E500)</f>
        <v>3607</v>
      </c>
      <c r="F7" s="66"/>
      <c r="G7" s="66"/>
      <c r="I7" s="32">
        <f>SUM(C12:C500)</f>
        <v>4700</v>
      </c>
      <c r="J7" s="66"/>
      <c r="K7" s="66"/>
      <c r="M7" s="32">
        <f>SUM(D12:D500)</f>
        <v>1093</v>
      </c>
      <c r="N7" s="66"/>
      <c r="O7" s="66"/>
    </row>
    <row r="8" spans="1:15" x14ac:dyDescent="0.3">
      <c r="A8" s="70"/>
      <c r="B8" s="66"/>
      <c r="C8" s="66"/>
      <c r="E8" s="70"/>
      <c r="F8" s="66"/>
      <c r="G8" s="66"/>
      <c r="I8" s="70"/>
      <c r="J8" s="66"/>
      <c r="K8" s="66"/>
      <c r="M8" s="70"/>
      <c r="N8" s="66"/>
      <c r="O8" s="66"/>
    </row>
    <row r="9" spans="1:15" ht="36" customHeight="1" x14ac:dyDescent="0.3">
      <c r="A9" s="65" t="s">
        <v>211</v>
      </c>
      <c r="B9" s="66"/>
      <c r="C9" s="66"/>
      <c r="E9" s="65" t="s">
        <v>212</v>
      </c>
      <c r="F9" s="66"/>
      <c r="G9" s="66"/>
      <c r="I9" s="65" t="s">
        <v>213</v>
      </c>
      <c r="J9" s="66"/>
      <c r="K9" s="66"/>
      <c r="M9" s="65" t="s">
        <v>214</v>
      </c>
      <c r="N9" s="66"/>
      <c r="O9" s="66"/>
    </row>
    <row r="10" spans="1:15" ht="23.4" customHeight="1" x14ac:dyDescent="0.3">
      <c r="A10" s="81" t="e">
        <f ca="1">_xludf.AGGREGATE(15,6,$H$12:$H$131,1)</f>
        <v>#NAME?</v>
      </c>
      <c r="B10" s="66"/>
      <c r="C10" s="66"/>
      <c r="E10" s="73" t="str">
        <f ca="1">IFERROR(INDEX($A$12:$A$131, MATCH(_xludf.AGGREGATE(15,6,$H$12:$H$131,1), $H$12:$H$131, 0)),"")</f>
        <v/>
      </c>
      <c r="F10" s="66"/>
      <c r="G10" s="66"/>
      <c r="I10" s="74" t="str">
        <f ca="1">IF($E$10="","",$E$10-$B$4)</f>
        <v/>
      </c>
      <c r="J10" s="66"/>
      <c r="K10" s="66"/>
      <c r="M10" s="32" t="e">
        <f ca="1">IF(_xludf.AGGREGATE(15,6,$H$12:$H$131,1)&lt;0,"ALERT: projected below £0","OK: stays above £0")</f>
        <v>#NAME?</v>
      </c>
      <c r="N10" s="66"/>
      <c r="O10" s="66"/>
    </row>
    <row r="11" spans="1:15" x14ac:dyDescent="0.3">
      <c r="A11" s="26" t="s">
        <v>85</v>
      </c>
      <c r="B11" s="26" t="s">
        <v>215</v>
      </c>
      <c r="C11" s="26" t="s">
        <v>216</v>
      </c>
      <c r="D11" s="26" t="s">
        <v>217</v>
      </c>
      <c r="E11" s="26" t="s">
        <v>218</v>
      </c>
      <c r="F11" s="26" t="s">
        <v>219</v>
      </c>
      <c r="G11" s="26" t="s">
        <v>61</v>
      </c>
      <c r="H11" s="50" t="s">
        <v>220</v>
      </c>
    </row>
    <row r="12" spans="1:15" x14ac:dyDescent="0.3">
      <c r="A12" s="55">
        <f>IF(1&gt;$E$4,"",$B$4+1-1)</f>
        <v>46020</v>
      </c>
      <c r="B12" s="57" t="str">
        <f t="shared" ref="B12:B43" si="0">IF($A12="","",TEXT($A12,"ddd"))</f>
        <v>Mon</v>
      </c>
      <c r="C12" s="56">
        <f>IF($A12="","",SUMIFS('Income Schedule'!$C:$C,'Income Schedule'!$A:$A,$A12))</f>
        <v>0</v>
      </c>
      <c r="D12" s="56">
        <f>IF($A12="","",SUMIFS('Upcoming Bills'!$C:$C,'Upcoming Bills'!$B:$B,$A12))</f>
        <v>1093</v>
      </c>
      <c r="E12" s="56">
        <f t="shared" ref="E12:E43" si="1">IF($A12="","",C12-D12)</f>
        <v>-1093</v>
      </c>
      <c r="F12" s="56">
        <f>IF($A12="","",$H$4+E12)</f>
        <v>-1093</v>
      </c>
      <c r="G12" s="57" t="str">
        <f t="shared" ref="G12:G43" si="2">IF($A12="","",IF(C12&gt;0,"Income","")&amp;IF(AND(C12&gt;0,D12&gt;0)," • ","")&amp;IF(D12&gt;0,"Bills",""))</f>
        <v>Bills</v>
      </c>
      <c r="H12" s="4">
        <f t="shared" ref="H12:H43" si="3">IF($A12="",NA(),$F12)</f>
        <v>-1093</v>
      </c>
    </row>
    <row r="13" spans="1:15" x14ac:dyDescent="0.3">
      <c r="A13" s="59">
        <f>IF(2&gt;$E$4,"",$B$4+2-1)</f>
        <v>46021</v>
      </c>
      <c r="B13" s="61" t="str">
        <f t="shared" si="0"/>
        <v>Tue</v>
      </c>
      <c r="C13" s="60">
        <f>IF($A13="","",SUMIFS('Income Schedule'!$C:$C,'Income Schedule'!$A:$A,$A13))</f>
        <v>0</v>
      </c>
      <c r="D13" s="60">
        <f>IF($A13="","",SUMIFS('Upcoming Bills'!$C:$C,'Upcoming Bills'!$B:$B,$A13))</f>
        <v>0</v>
      </c>
      <c r="E13" s="60">
        <f t="shared" si="1"/>
        <v>0</v>
      </c>
      <c r="F13" s="60">
        <f t="shared" ref="F13:F44" si="4">IF($A13="","",F12+E13)</f>
        <v>-1093</v>
      </c>
      <c r="G13" s="61" t="str">
        <f t="shared" si="2"/>
        <v/>
      </c>
      <c r="H13" s="4">
        <f t="shared" si="3"/>
        <v>-1093</v>
      </c>
    </row>
    <row r="14" spans="1:15" x14ac:dyDescent="0.3">
      <c r="A14" s="55">
        <f>IF(3&gt;$E$4,"",$B$4+3-1)</f>
        <v>46022</v>
      </c>
      <c r="B14" s="57" t="str">
        <f t="shared" si="0"/>
        <v>Wed</v>
      </c>
      <c r="C14" s="56">
        <f>IF($A14="","",SUMIFS('Income Schedule'!$C:$C,'Income Schedule'!$A:$A,$A14))</f>
        <v>100</v>
      </c>
      <c r="D14" s="56">
        <f>IF($A14="","",SUMIFS('Upcoming Bills'!$C:$C,'Upcoming Bills'!$B:$B,$A14))</f>
        <v>0</v>
      </c>
      <c r="E14" s="56">
        <f t="shared" si="1"/>
        <v>100</v>
      </c>
      <c r="F14" s="56">
        <f t="shared" si="4"/>
        <v>-993</v>
      </c>
      <c r="G14" s="57" t="str">
        <f t="shared" si="2"/>
        <v>Income</v>
      </c>
      <c r="H14" s="4">
        <f t="shared" si="3"/>
        <v>-993</v>
      </c>
    </row>
    <row r="15" spans="1:15" x14ac:dyDescent="0.3">
      <c r="A15" s="59">
        <f>IF(4&gt;$E$4,"",$B$4+4-1)</f>
        <v>46023</v>
      </c>
      <c r="B15" s="61" t="str">
        <f t="shared" si="0"/>
        <v>Thu</v>
      </c>
      <c r="C15" s="60">
        <f>IF($A15="","",SUMIFS('Income Schedule'!$C:$C,'Income Schedule'!$A:$A,$A15))</f>
        <v>400</v>
      </c>
      <c r="D15" s="60">
        <f>IF($A15="","",SUMIFS('Upcoming Bills'!$C:$C,'Upcoming Bills'!$B:$B,$A15))</f>
        <v>0</v>
      </c>
      <c r="E15" s="60">
        <f t="shared" si="1"/>
        <v>400</v>
      </c>
      <c r="F15" s="60">
        <f t="shared" si="4"/>
        <v>-593</v>
      </c>
      <c r="G15" s="61" t="str">
        <f t="shared" si="2"/>
        <v>Income</v>
      </c>
      <c r="H15" s="4">
        <f t="shared" si="3"/>
        <v>-593</v>
      </c>
    </row>
    <row r="16" spans="1:15" x14ac:dyDescent="0.3">
      <c r="A16" s="55">
        <f>IF(5&gt;$E$4,"",$B$4+5-1)</f>
        <v>46024</v>
      </c>
      <c r="B16" s="57" t="str">
        <f t="shared" si="0"/>
        <v>Fri</v>
      </c>
      <c r="C16" s="56">
        <f>IF($A16="","",SUMIFS('Income Schedule'!$C:$C,'Income Schedule'!$A:$A,$A16))</f>
        <v>0</v>
      </c>
      <c r="D16" s="56">
        <f>IF($A16="","",SUMIFS('Upcoming Bills'!$C:$C,'Upcoming Bills'!$B:$B,$A16))</f>
        <v>0</v>
      </c>
      <c r="E16" s="56">
        <f t="shared" si="1"/>
        <v>0</v>
      </c>
      <c r="F16" s="56">
        <f t="shared" si="4"/>
        <v>-593</v>
      </c>
      <c r="G16" s="57" t="str">
        <f t="shared" si="2"/>
        <v/>
      </c>
      <c r="H16" s="4">
        <f t="shared" si="3"/>
        <v>-593</v>
      </c>
    </row>
    <row r="17" spans="1:8" x14ac:dyDescent="0.3">
      <c r="A17" s="59">
        <f>IF(6&gt;$E$4,"",$B$4+6-1)</f>
        <v>46025</v>
      </c>
      <c r="B17" s="61" t="str">
        <f t="shared" si="0"/>
        <v>Sat</v>
      </c>
      <c r="C17" s="60">
        <f>IF($A17="","",SUMIFS('Income Schedule'!$C:$C,'Income Schedule'!$A:$A,$A17))</f>
        <v>0</v>
      </c>
      <c r="D17" s="60">
        <f>IF($A17="","",SUMIFS('Upcoming Bills'!$C:$C,'Upcoming Bills'!$B:$B,$A17))</f>
        <v>0</v>
      </c>
      <c r="E17" s="60">
        <f t="shared" si="1"/>
        <v>0</v>
      </c>
      <c r="F17" s="60">
        <f t="shared" si="4"/>
        <v>-593</v>
      </c>
      <c r="G17" s="61" t="str">
        <f t="shared" si="2"/>
        <v/>
      </c>
      <c r="H17" s="4">
        <f t="shared" si="3"/>
        <v>-593</v>
      </c>
    </row>
    <row r="18" spans="1:8" x14ac:dyDescent="0.3">
      <c r="A18" s="55">
        <f>IF(7&gt;$E$4,"",$B$4+7-1)</f>
        <v>46026</v>
      </c>
      <c r="B18" s="57" t="str">
        <f t="shared" si="0"/>
        <v>Sun</v>
      </c>
      <c r="C18" s="56">
        <f>IF($A18="","",SUMIFS('Income Schedule'!$C:$C,'Income Schedule'!$A:$A,$A18))</f>
        <v>0</v>
      </c>
      <c r="D18" s="56">
        <f>IF($A18="","",SUMIFS('Upcoming Bills'!$C:$C,'Upcoming Bills'!$B:$B,$A18))</f>
        <v>0</v>
      </c>
      <c r="E18" s="56">
        <f t="shared" si="1"/>
        <v>0</v>
      </c>
      <c r="F18" s="56">
        <f t="shared" si="4"/>
        <v>-593</v>
      </c>
      <c r="G18" s="57" t="str">
        <f t="shared" si="2"/>
        <v/>
      </c>
      <c r="H18" s="4">
        <f t="shared" si="3"/>
        <v>-593</v>
      </c>
    </row>
    <row r="19" spans="1:8" x14ac:dyDescent="0.3">
      <c r="A19" s="59">
        <f>IF(8&gt;$E$4,"",$B$4+8-1)</f>
        <v>46027</v>
      </c>
      <c r="B19" s="61" t="str">
        <f t="shared" si="0"/>
        <v>Mon</v>
      </c>
      <c r="C19" s="60">
        <f>IF($A19="","",SUMIFS('Income Schedule'!$C:$C,'Income Schedule'!$A:$A,$A19))</f>
        <v>0</v>
      </c>
      <c r="D19" s="60">
        <f>IF($A19="","",SUMIFS('Upcoming Bills'!$C:$C,'Upcoming Bills'!$B:$B,$A19))</f>
        <v>0</v>
      </c>
      <c r="E19" s="60">
        <f t="shared" si="1"/>
        <v>0</v>
      </c>
      <c r="F19" s="60">
        <f t="shared" si="4"/>
        <v>-593</v>
      </c>
      <c r="G19" s="61" t="str">
        <f t="shared" si="2"/>
        <v/>
      </c>
      <c r="H19" s="4">
        <f t="shared" si="3"/>
        <v>-593</v>
      </c>
    </row>
    <row r="20" spans="1:8" x14ac:dyDescent="0.3">
      <c r="A20" s="55">
        <f>IF(9&gt;$E$4,"",$B$4+9-1)</f>
        <v>46028</v>
      </c>
      <c r="B20" s="57" t="str">
        <f t="shared" si="0"/>
        <v>Tue</v>
      </c>
      <c r="C20" s="56">
        <f>IF($A20="","",SUMIFS('Income Schedule'!$C:$C,'Income Schedule'!$A:$A,$A20))</f>
        <v>0</v>
      </c>
      <c r="D20" s="56">
        <f>IF($A20="","",SUMIFS('Upcoming Bills'!$C:$C,'Upcoming Bills'!$B:$B,$A20))</f>
        <v>0</v>
      </c>
      <c r="E20" s="56">
        <f t="shared" si="1"/>
        <v>0</v>
      </c>
      <c r="F20" s="56">
        <f t="shared" si="4"/>
        <v>-593</v>
      </c>
      <c r="G20" s="57" t="str">
        <f t="shared" si="2"/>
        <v/>
      </c>
      <c r="H20" s="4">
        <f t="shared" si="3"/>
        <v>-593</v>
      </c>
    </row>
    <row r="21" spans="1:8" x14ac:dyDescent="0.3">
      <c r="A21" s="59">
        <f>IF(10&gt;$E$4,"",$B$4+10-1)</f>
        <v>46029</v>
      </c>
      <c r="B21" s="61" t="str">
        <f t="shared" si="0"/>
        <v>Wed</v>
      </c>
      <c r="C21" s="60">
        <f>IF($A21="","",SUMIFS('Income Schedule'!$C:$C,'Income Schedule'!$A:$A,$A21))</f>
        <v>100</v>
      </c>
      <c r="D21" s="60">
        <f>IF($A21="","",SUMIFS('Upcoming Bills'!$C:$C,'Upcoming Bills'!$B:$B,$A21))</f>
        <v>0</v>
      </c>
      <c r="E21" s="60">
        <f t="shared" si="1"/>
        <v>100</v>
      </c>
      <c r="F21" s="60">
        <f t="shared" si="4"/>
        <v>-493</v>
      </c>
      <c r="G21" s="61" t="str">
        <f t="shared" si="2"/>
        <v>Income</v>
      </c>
      <c r="H21" s="4">
        <f t="shared" si="3"/>
        <v>-493</v>
      </c>
    </row>
    <row r="22" spans="1:8" x14ac:dyDescent="0.3">
      <c r="A22" s="55">
        <f>IF(11&gt;$E$4,"",$B$4+11-1)</f>
        <v>46030</v>
      </c>
      <c r="B22" s="57" t="str">
        <f t="shared" si="0"/>
        <v>Thu</v>
      </c>
      <c r="C22" s="56">
        <f>IF($A22="","",SUMIFS('Income Schedule'!$C:$C,'Income Schedule'!$A:$A,$A22))</f>
        <v>0</v>
      </c>
      <c r="D22" s="56">
        <f>IF($A22="","",SUMIFS('Upcoming Bills'!$C:$C,'Upcoming Bills'!$B:$B,$A22))</f>
        <v>0</v>
      </c>
      <c r="E22" s="56">
        <f t="shared" si="1"/>
        <v>0</v>
      </c>
      <c r="F22" s="56">
        <f t="shared" si="4"/>
        <v>-493</v>
      </c>
      <c r="G22" s="57" t="str">
        <f t="shared" si="2"/>
        <v/>
      </c>
      <c r="H22" s="4">
        <f t="shared" si="3"/>
        <v>-493</v>
      </c>
    </row>
    <row r="23" spans="1:8" x14ac:dyDescent="0.3">
      <c r="A23" s="59">
        <f>IF(12&gt;$E$4,"",$B$4+12-1)</f>
        <v>46031</v>
      </c>
      <c r="B23" s="61" t="str">
        <f t="shared" si="0"/>
        <v>Fri</v>
      </c>
      <c r="C23" s="60">
        <f>IF($A23="","",SUMIFS('Income Schedule'!$C:$C,'Income Schedule'!$A:$A,$A23))</f>
        <v>0</v>
      </c>
      <c r="D23" s="60">
        <f>IF($A23="","",SUMIFS('Upcoming Bills'!$C:$C,'Upcoming Bills'!$B:$B,$A23))</f>
        <v>0</v>
      </c>
      <c r="E23" s="60">
        <f t="shared" si="1"/>
        <v>0</v>
      </c>
      <c r="F23" s="60">
        <f t="shared" si="4"/>
        <v>-493</v>
      </c>
      <c r="G23" s="61" t="str">
        <f t="shared" si="2"/>
        <v/>
      </c>
      <c r="H23" s="4">
        <f t="shared" si="3"/>
        <v>-493</v>
      </c>
    </row>
    <row r="24" spans="1:8" x14ac:dyDescent="0.3">
      <c r="A24" s="55">
        <f>IF(13&gt;$E$4,"",$B$4+13-1)</f>
        <v>46032</v>
      </c>
      <c r="B24" s="57" t="str">
        <f t="shared" si="0"/>
        <v>Sat</v>
      </c>
      <c r="C24" s="56">
        <f>IF($A24="","",SUMIFS('Income Schedule'!$C:$C,'Income Schedule'!$A:$A,$A24))</f>
        <v>0</v>
      </c>
      <c r="D24" s="56">
        <f>IF($A24="","",SUMIFS('Upcoming Bills'!$C:$C,'Upcoming Bills'!$B:$B,$A24))</f>
        <v>0</v>
      </c>
      <c r="E24" s="56">
        <f t="shared" si="1"/>
        <v>0</v>
      </c>
      <c r="F24" s="56">
        <f t="shared" si="4"/>
        <v>-493</v>
      </c>
      <c r="G24" s="57" t="str">
        <f t="shared" si="2"/>
        <v/>
      </c>
      <c r="H24" s="4">
        <f t="shared" si="3"/>
        <v>-493</v>
      </c>
    </row>
    <row r="25" spans="1:8" x14ac:dyDescent="0.3">
      <c r="A25" s="59">
        <f>IF(14&gt;$E$4,"",$B$4+14-1)</f>
        <v>46033</v>
      </c>
      <c r="B25" s="61" t="str">
        <f t="shared" si="0"/>
        <v>Sun</v>
      </c>
      <c r="C25" s="60">
        <f>IF($A25="","",SUMIFS('Income Schedule'!$C:$C,'Income Schedule'!$A:$A,$A25))</f>
        <v>0</v>
      </c>
      <c r="D25" s="60">
        <f>IF($A25="","",SUMIFS('Upcoming Bills'!$C:$C,'Upcoming Bills'!$B:$B,$A25))</f>
        <v>0</v>
      </c>
      <c r="E25" s="60">
        <f t="shared" si="1"/>
        <v>0</v>
      </c>
      <c r="F25" s="60">
        <f t="shared" si="4"/>
        <v>-493</v>
      </c>
      <c r="G25" s="61" t="str">
        <f t="shared" si="2"/>
        <v/>
      </c>
      <c r="H25" s="4">
        <f t="shared" si="3"/>
        <v>-493</v>
      </c>
    </row>
    <row r="26" spans="1:8" x14ac:dyDescent="0.3">
      <c r="A26" s="55">
        <f>IF(15&gt;$E$4,"",$B$4+15-1)</f>
        <v>46034</v>
      </c>
      <c r="B26" s="57" t="str">
        <f t="shared" si="0"/>
        <v>Mon</v>
      </c>
      <c r="C26" s="56">
        <f>IF($A26="","",SUMIFS('Income Schedule'!$C:$C,'Income Schedule'!$A:$A,$A26))</f>
        <v>0</v>
      </c>
      <c r="D26" s="56">
        <f>IF($A26="","",SUMIFS('Upcoming Bills'!$C:$C,'Upcoming Bills'!$B:$B,$A26))</f>
        <v>0</v>
      </c>
      <c r="E26" s="56">
        <f t="shared" si="1"/>
        <v>0</v>
      </c>
      <c r="F26" s="56">
        <f t="shared" si="4"/>
        <v>-493</v>
      </c>
      <c r="G26" s="57" t="str">
        <f t="shared" si="2"/>
        <v/>
      </c>
      <c r="H26" s="4">
        <f t="shared" si="3"/>
        <v>-493</v>
      </c>
    </row>
    <row r="27" spans="1:8" x14ac:dyDescent="0.3">
      <c r="A27" s="59">
        <f>IF(16&gt;$E$4,"",$B$4+16-1)</f>
        <v>46035</v>
      </c>
      <c r="B27" s="61" t="str">
        <f t="shared" si="0"/>
        <v>Tue</v>
      </c>
      <c r="C27" s="60">
        <f>IF($A27="","",SUMIFS('Income Schedule'!$C:$C,'Income Schedule'!$A:$A,$A27))</f>
        <v>0</v>
      </c>
      <c r="D27" s="60">
        <f>IF($A27="","",SUMIFS('Upcoming Bills'!$C:$C,'Upcoming Bills'!$B:$B,$A27))</f>
        <v>0</v>
      </c>
      <c r="E27" s="60">
        <f t="shared" si="1"/>
        <v>0</v>
      </c>
      <c r="F27" s="60">
        <f t="shared" si="4"/>
        <v>-493</v>
      </c>
      <c r="G27" s="61" t="str">
        <f t="shared" si="2"/>
        <v/>
      </c>
      <c r="H27" s="4">
        <f t="shared" si="3"/>
        <v>-493</v>
      </c>
    </row>
    <row r="28" spans="1:8" x14ac:dyDescent="0.3">
      <c r="A28" s="55">
        <f>IF(17&gt;$E$4,"",$B$4+17-1)</f>
        <v>46036</v>
      </c>
      <c r="B28" s="57" t="str">
        <f t="shared" si="0"/>
        <v>Wed</v>
      </c>
      <c r="C28" s="56">
        <f>IF($A28="","",SUMIFS('Income Schedule'!$C:$C,'Income Schedule'!$A:$A,$A28))</f>
        <v>100</v>
      </c>
      <c r="D28" s="56">
        <f>IF($A28="","",SUMIFS('Upcoming Bills'!$C:$C,'Upcoming Bills'!$B:$B,$A28))</f>
        <v>0</v>
      </c>
      <c r="E28" s="56">
        <f t="shared" si="1"/>
        <v>100</v>
      </c>
      <c r="F28" s="56">
        <f t="shared" si="4"/>
        <v>-393</v>
      </c>
      <c r="G28" s="57" t="str">
        <f t="shared" si="2"/>
        <v>Income</v>
      </c>
      <c r="H28" s="4">
        <f t="shared" si="3"/>
        <v>-393</v>
      </c>
    </row>
    <row r="29" spans="1:8" x14ac:dyDescent="0.3">
      <c r="A29" s="59">
        <f>IF(18&gt;$E$4,"",$B$4+18-1)</f>
        <v>46037</v>
      </c>
      <c r="B29" s="61" t="str">
        <f t="shared" si="0"/>
        <v>Thu</v>
      </c>
      <c r="C29" s="60">
        <f>IF($A29="","",SUMIFS('Income Schedule'!$C:$C,'Income Schedule'!$A:$A,$A29))</f>
        <v>400</v>
      </c>
      <c r="D29" s="60">
        <f>IF($A29="","",SUMIFS('Upcoming Bills'!$C:$C,'Upcoming Bills'!$B:$B,$A29))</f>
        <v>0</v>
      </c>
      <c r="E29" s="60">
        <f t="shared" si="1"/>
        <v>400</v>
      </c>
      <c r="F29" s="60">
        <f t="shared" si="4"/>
        <v>7</v>
      </c>
      <c r="G29" s="61" t="str">
        <f t="shared" si="2"/>
        <v>Income</v>
      </c>
      <c r="H29" s="4">
        <f t="shared" si="3"/>
        <v>7</v>
      </c>
    </row>
    <row r="30" spans="1:8" x14ac:dyDescent="0.3">
      <c r="A30" s="55">
        <f>IF(19&gt;$E$4,"",$B$4+19-1)</f>
        <v>46038</v>
      </c>
      <c r="B30" s="57" t="str">
        <f t="shared" si="0"/>
        <v>Fri</v>
      </c>
      <c r="C30" s="56">
        <f>IF($A30="","",SUMIFS('Income Schedule'!$C:$C,'Income Schedule'!$A:$A,$A30))</f>
        <v>0</v>
      </c>
      <c r="D30" s="56">
        <f>IF($A30="","",SUMIFS('Upcoming Bills'!$C:$C,'Upcoming Bills'!$B:$B,$A30))</f>
        <v>0</v>
      </c>
      <c r="E30" s="56">
        <f t="shared" si="1"/>
        <v>0</v>
      </c>
      <c r="F30" s="56">
        <f t="shared" si="4"/>
        <v>7</v>
      </c>
      <c r="G30" s="57" t="str">
        <f t="shared" si="2"/>
        <v/>
      </c>
      <c r="H30" s="4">
        <f t="shared" si="3"/>
        <v>7</v>
      </c>
    </row>
    <row r="31" spans="1:8" x14ac:dyDescent="0.3">
      <c r="A31" s="59">
        <f>IF(20&gt;$E$4,"",$B$4+20-1)</f>
        <v>46039</v>
      </c>
      <c r="B31" s="61" t="str">
        <f t="shared" si="0"/>
        <v>Sat</v>
      </c>
      <c r="C31" s="60">
        <f>IF($A31="","",SUMIFS('Income Schedule'!$C:$C,'Income Schedule'!$A:$A,$A31))</f>
        <v>0</v>
      </c>
      <c r="D31" s="60">
        <f>IF($A31="","",SUMIFS('Upcoming Bills'!$C:$C,'Upcoming Bills'!$B:$B,$A31))</f>
        <v>0</v>
      </c>
      <c r="E31" s="60">
        <f t="shared" si="1"/>
        <v>0</v>
      </c>
      <c r="F31" s="60">
        <f t="shared" si="4"/>
        <v>7</v>
      </c>
      <c r="G31" s="61" t="str">
        <f t="shared" si="2"/>
        <v/>
      </c>
      <c r="H31" s="4">
        <f t="shared" si="3"/>
        <v>7</v>
      </c>
    </row>
    <row r="32" spans="1:8" x14ac:dyDescent="0.3">
      <c r="A32" s="55">
        <f>IF(21&gt;$E$4,"",$B$4+21-1)</f>
        <v>46040</v>
      </c>
      <c r="B32" s="57" t="str">
        <f t="shared" si="0"/>
        <v>Sun</v>
      </c>
      <c r="C32" s="56">
        <f>IF($A32="","",SUMIFS('Income Schedule'!$C:$C,'Income Schedule'!$A:$A,$A32))</f>
        <v>0</v>
      </c>
      <c r="D32" s="56">
        <f>IF($A32="","",SUMIFS('Upcoming Bills'!$C:$C,'Upcoming Bills'!$B:$B,$A32))</f>
        <v>0</v>
      </c>
      <c r="E32" s="56">
        <f t="shared" si="1"/>
        <v>0</v>
      </c>
      <c r="F32" s="56">
        <f t="shared" si="4"/>
        <v>7</v>
      </c>
      <c r="G32" s="57" t="str">
        <f t="shared" si="2"/>
        <v/>
      </c>
      <c r="H32" s="4">
        <f t="shared" si="3"/>
        <v>7</v>
      </c>
    </row>
    <row r="33" spans="1:8" x14ac:dyDescent="0.3">
      <c r="A33" s="59">
        <f>IF(22&gt;$E$4,"",$B$4+22-1)</f>
        <v>46041</v>
      </c>
      <c r="B33" s="61" t="str">
        <f t="shared" si="0"/>
        <v>Mon</v>
      </c>
      <c r="C33" s="60">
        <f>IF($A33="","",SUMIFS('Income Schedule'!$C:$C,'Income Schedule'!$A:$A,$A33))</f>
        <v>0</v>
      </c>
      <c r="D33" s="60">
        <f>IF($A33="","",SUMIFS('Upcoming Bills'!$C:$C,'Upcoming Bills'!$B:$B,$A33))</f>
        <v>0</v>
      </c>
      <c r="E33" s="60">
        <f t="shared" si="1"/>
        <v>0</v>
      </c>
      <c r="F33" s="60">
        <f t="shared" si="4"/>
        <v>7</v>
      </c>
      <c r="G33" s="61" t="str">
        <f t="shared" si="2"/>
        <v/>
      </c>
      <c r="H33" s="4">
        <f t="shared" si="3"/>
        <v>7</v>
      </c>
    </row>
    <row r="34" spans="1:8" x14ac:dyDescent="0.3">
      <c r="A34" s="55">
        <f>IF(23&gt;$E$4,"",$B$4+23-1)</f>
        <v>46042</v>
      </c>
      <c r="B34" s="57" t="str">
        <f t="shared" si="0"/>
        <v>Tue</v>
      </c>
      <c r="C34" s="56">
        <f>IF($A34="","",SUMIFS('Income Schedule'!$C:$C,'Income Schedule'!$A:$A,$A34))</f>
        <v>0</v>
      </c>
      <c r="D34" s="56">
        <f>IF($A34="","",SUMIFS('Upcoming Bills'!$C:$C,'Upcoming Bills'!$B:$B,$A34))</f>
        <v>0</v>
      </c>
      <c r="E34" s="56">
        <f t="shared" si="1"/>
        <v>0</v>
      </c>
      <c r="F34" s="56">
        <f t="shared" si="4"/>
        <v>7</v>
      </c>
      <c r="G34" s="57" t="str">
        <f t="shared" si="2"/>
        <v/>
      </c>
      <c r="H34" s="4">
        <f t="shared" si="3"/>
        <v>7</v>
      </c>
    </row>
    <row r="35" spans="1:8" x14ac:dyDescent="0.3">
      <c r="A35" s="59">
        <f>IF(24&gt;$E$4,"",$B$4+24-1)</f>
        <v>46043</v>
      </c>
      <c r="B35" s="61" t="str">
        <f t="shared" si="0"/>
        <v>Wed</v>
      </c>
      <c r="C35" s="60">
        <f>IF($A35="","",SUMIFS('Income Schedule'!$C:$C,'Income Schedule'!$A:$A,$A35))</f>
        <v>100</v>
      </c>
      <c r="D35" s="60">
        <f>IF($A35="","",SUMIFS('Upcoming Bills'!$C:$C,'Upcoming Bills'!$B:$B,$A35))</f>
        <v>0</v>
      </c>
      <c r="E35" s="60">
        <f t="shared" si="1"/>
        <v>100</v>
      </c>
      <c r="F35" s="60">
        <f t="shared" si="4"/>
        <v>107</v>
      </c>
      <c r="G35" s="61" t="str">
        <f t="shared" si="2"/>
        <v>Income</v>
      </c>
      <c r="H35" s="4">
        <f t="shared" si="3"/>
        <v>107</v>
      </c>
    </row>
    <row r="36" spans="1:8" x14ac:dyDescent="0.3">
      <c r="A36" s="55">
        <f>IF(25&gt;$E$4,"",$B$4+25-1)</f>
        <v>46044</v>
      </c>
      <c r="B36" s="57" t="str">
        <f t="shared" si="0"/>
        <v>Thu</v>
      </c>
      <c r="C36" s="56">
        <f>IF($A36="","",SUMIFS('Income Schedule'!$C:$C,'Income Schedule'!$A:$A,$A36))</f>
        <v>0</v>
      </c>
      <c r="D36" s="56">
        <f>IF($A36="","",SUMIFS('Upcoming Bills'!$C:$C,'Upcoming Bills'!$B:$B,$A36))</f>
        <v>0</v>
      </c>
      <c r="E36" s="56">
        <f t="shared" si="1"/>
        <v>0</v>
      </c>
      <c r="F36" s="56">
        <f t="shared" si="4"/>
        <v>107</v>
      </c>
      <c r="G36" s="57" t="str">
        <f t="shared" si="2"/>
        <v/>
      </c>
      <c r="H36" s="4">
        <f t="shared" si="3"/>
        <v>107</v>
      </c>
    </row>
    <row r="37" spans="1:8" x14ac:dyDescent="0.3">
      <c r="A37" s="59">
        <f>IF(26&gt;$E$4,"",$B$4+26-1)</f>
        <v>46045</v>
      </c>
      <c r="B37" s="61" t="str">
        <f t="shared" si="0"/>
        <v>Fri</v>
      </c>
      <c r="C37" s="60">
        <f>IF($A37="","",SUMIFS('Income Schedule'!$C:$C,'Income Schedule'!$A:$A,$A37))</f>
        <v>0</v>
      </c>
      <c r="D37" s="60">
        <f>IF($A37="","",SUMIFS('Upcoming Bills'!$C:$C,'Upcoming Bills'!$B:$B,$A37))</f>
        <v>0</v>
      </c>
      <c r="E37" s="60">
        <f t="shared" si="1"/>
        <v>0</v>
      </c>
      <c r="F37" s="60">
        <f t="shared" si="4"/>
        <v>107</v>
      </c>
      <c r="G37" s="61" t="str">
        <f t="shared" si="2"/>
        <v/>
      </c>
      <c r="H37" s="4">
        <f t="shared" si="3"/>
        <v>107</v>
      </c>
    </row>
    <row r="38" spans="1:8" x14ac:dyDescent="0.3">
      <c r="A38" s="55">
        <f>IF(27&gt;$E$4,"",$B$4+27-1)</f>
        <v>46046</v>
      </c>
      <c r="B38" s="57" t="str">
        <f t="shared" si="0"/>
        <v>Sat</v>
      </c>
      <c r="C38" s="56">
        <f>IF($A38="","",SUMIFS('Income Schedule'!$C:$C,'Income Schedule'!$A:$A,$A38))</f>
        <v>0</v>
      </c>
      <c r="D38" s="56">
        <f>IF($A38="","",SUMIFS('Upcoming Bills'!$C:$C,'Upcoming Bills'!$B:$B,$A38))</f>
        <v>0</v>
      </c>
      <c r="E38" s="56">
        <f t="shared" si="1"/>
        <v>0</v>
      </c>
      <c r="F38" s="56">
        <f t="shared" si="4"/>
        <v>107</v>
      </c>
      <c r="G38" s="57" t="str">
        <f t="shared" si="2"/>
        <v/>
      </c>
      <c r="H38" s="4">
        <f t="shared" si="3"/>
        <v>107</v>
      </c>
    </row>
    <row r="39" spans="1:8" x14ac:dyDescent="0.3">
      <c r="A39" s="59">
        <f>IF(28&gt;$E$4,"",$B$4+28-1)</f>
        <v>46047</v>
      </c>
      <c r="B39" s="61" t="str">
        <f t="shared" si="0"/>
        <v>Sun</v>
      </c>
      <c r="C39" s="60">
        <f>IF($A39="","",SUMIFS('Income Schedule'!$C:$C,'Income Schedule'!$A:$A,$A39))</f>
        <v>0</v>
      </c>
      <c r="D39" s="60">
        <f>IF($A39="","",SUMIFS('Upcoming Bills'!$C:$C,'Upcoming Bills'!$B:$B,$A39))</f>
        <v>0</v>
      </c>
      <c r="E39" s="60">
        <f t="shared" si="1"/>
        <v>0</v>
      </c>
      <c r="F39" s="60">
        <f t="shared" si="4"/>
        <v>107</v>
      </c>
      <c r="G39" s="61" t="str">
        <f t="shared" si="2"/>
        <v/>
      </c>
      <c r="H39" s="4">
        <f t="shared" si="3"/>
        <v>107</v>
      </c>
    </row>
    <row r="40" spans="1:8" x14ac:dyDescent="0.3">
      <c r="A40" s="55">
        <f>IF(29&gt;$E$4,"",$B$4+29-1)</f>
        <v>46048</v>
      </c>
      <c r="B40" s="57" t="str">
        <f t="shared" si="0"/>
        <v>Mon</v>
      </c>
      <c r="C40" s="56">
        <f>IF($A40="","",SUMIFS('Income Schedule'!$C:$C,'Income Schedule'!$A:$A,$A40))</f>
        <v>3500</v>
      </c>
      <c r="D40" s="56">
        <f>IF($A40="","",SUMIFS('Upcoming Bills'!$C:$C,'Upcoming Bills'!$B:$B,$A40))</f>
        <v>0</v>
      </c>
      <c r="E40" s="56">
        <f t="shared" si="1"/>
        <v>3500</v>
      </c>
      <c r="F40" s="56">
        <f t="shared" si="4"/>
        <v>3607</v>
      </c>
      <c r="G40" s="57" t="str">
        <f t="shared" si="2"/>
        <v>Income</v>
      </c>
      <c r="H40" s="4">
        <f t="shared" si="3"/>
        <v>3607</v>
      </c>
    </row>
    <row r="41" spans="1:8" x14ac:dyDescent="0.3">
      <c r="A41" s="59">
        <f>IF(30&gt;$E$4,"",$B$4+30-1)</f>
        <v>46049</v>
      </c>
      <c r="B41" s="61" t="str">
        <f t="shared" si="0"/>
        <v>Tue</v>
      </c>
      <c r="C41" s="60">
        <f>IF($A41="","",SUMIFS('Income Schedule'!$C:$C,'Income Schedule'!$A:$A,$A41))</f>
        <v>0</v>
      </c>
      <c r="D41" s="60">
        <f>IF($A41="","",SUMIFS('Upcoming Bills'!$C:$C,'Upcoming Bills'!$B:$B,$A41))</f>
        <v>0</v>
      </c>
      <c r="E41" s="60">
        <f t="shared" si="1"/>
        <v>0</v>
      </c>
      <c r="F41" s="60">
        <f t="shared" si="4"/>
        <v>3607</v>
      </c>
      <c r="G41" s="61" t="str">
        <f t="shared" si="2"/>
        <v/>
      </c>
      <c r="H41" s="4">
        <f t="shared" si="3"/>
        <v>3607</v>
      </c>
    </row>
    <row r="42" spans="1:8" x14ac:dyDescent="0.3">
      <c r="A42" s="55" t="str">
        <f>IF(31&gt;$E$4,"",$B$4+31-1)</f>
        <v/>
      </c>
      <c r="B42" s="57" t="str">
        <f t="shared" si="0"/>
        <v/>
      </c>
      <c r="C42" s="56" t="str">
        <f>IF($A42="","",SUMIFS('Income Schedule'!$C:$C,'Income Schedule'!$A:$A,$A42))</f>
        <v/>
      </c>
      <c r="D42" s="56" t="str">
        <f>IF($A42="","",SUMIFS('Upcoming Bills'!$C:$C,'Upcoming Bills'!$B:$B,$A42))</f>
        <v/>
      </c>
      <c r="E42" s="56" t="str">
        <f t="shared" si="1"/>
        <v/>
      </c>
      <c r="F42" s="56" t="str">
        <f t="shared" si="4"/>
        <v/>
      </c>
      <c r="G42" s="57" t="str">
        <f t="shared" si="2"/>
        <v/>
      </c>
      <c r="H42" s="4" t="e">
        <f t="shared" si="3"/>
        <v>#N/A</v>
      </c>
    </row>
    <row r="43" spans="1:8" x14ac:dyDescent="0.3">
      <c r="A43" s="59" t="str">
        <f>IF(32&gt;$E$4,"",$B$4+32-1)</f>
        <v/>
      </c>
      <c r="B43" s="61" t="str">
        <f t="shared" si="0"/>
        <v/>
      </c>
      <c r="C43" s="60" t="str">
        <f>IF($A43="","",SUMIFS('Income Schedule'!$C:$C,'Income Schedule'!$A:$A,$A43))</f>
        <v/>
      </c>
      <c r="D43" s="60" t="str">
        <f>IF($A43="","",SUMIFS('Upcoming Bills'!$C:$C,'Upcoming Bills'!$B:$B,$A43))</f>
        <v/>
      </c>
      <c r="E43" s="60" t="str">
        <f t="shared" si="1"/>
        <v/>
      </c>
      <c r="F43" s="60" t="str">
        <f t="shared" si="4"/>
        <v/>
      </c>
      <c r="G43" s="61" t="str">
        <f t="shared" si="2"/>
        <v/>
      </c>
      <c r="H43" s="4" t="e">
        <f t="shared" si="3"/>
        <v>#N/A</v>
      </c>
    </row>
    <row r="44" spans="1:8" x14ac:dyDescent="0.3">
      <c r="A44" s="55" t="str">
        <f>IF(33&gt;$E$4,"",$B$4+33-1)</f>
        <v/>
      </c>
      <c r="B44" s="57" t="str">
        <f t="shared" ref="B44:B75" si="5">IF($A44="","",TEXT($A44,"ddd"))</f>
        <v/>
      </c>
      <c r="C44" s="56" t="str">
        <f>IF($A44="","",SUMIFS('Income Schedule'!$C:$C,'Income Schedule'!$A:$A,$A44))</f>
        <v/>
      </c>
      <c r="D44" s="56" t="str">
        <f>IF($A44="","",SUMIFS('Upcoming Bills'!$C:$C,'Upcoming Bills'!$B:$B,$A44))</f>
        <v/>
      </c>
      <c r="E44" s="56" t="str">
        <f t="shared" ref="E44:E75" si="6">IF($A44="","",C44-D44)</f>
        <v/>
      </c>
      <c r="F44" s="56" t="str">
        <f t="shared" si="4"/>
        <v/>
      </c>
      <c r="G44" s="57" t="str">
        <f t="shared" ref="G44:G75" si="7">IF($A44="","",IF(C44&gt;0,"Income","")&amp;IF(AND(C44&gt;0,D44&gt;0)," • ","")&amp;IF(D44&gt;0,"Bills",""))</f>
        <v/>
      </c>
      <c r="H44" s="4" t="e">
        <f t="shared" ref="H44:H75" si="8">IF($A44="",NA(),$F44)</f>
        <v>#N/A</v>
      </c>
    </row>
    <row r="45" spans="1:8" x14ac:dyDescent="0.3">
      <c r="A45" s="59" t="str">
        <f>IF(34&gt;$E$4,"",$B$4+34-1)</f>
        <v/>
      </c>
      <c r="B45" s="61" t="str">
        <f t="shared" si="5"/>
        <v/>
      </c>
      <c r="C45" s="60" t="str">
        <f>IF($A45="","",SUMIFS('Income Schedule'!$C:$C,'Income Schedule'!$A:$A,$A45))</f>
        <v/>
      </c>
      <c r="D45" s="60" t="str">
        <f>IF($A45="","",SUMIFS('Upcoming Bills'!$C:$C,'Upcoming Bills'!$B:$B,$A45))</f>
        <v/>
      </c>
      <c r="E45" s="60" t="str">
        <f t="shared" si="6"/>
        <v/>
      </c>
      <c r="F45" s="60" t="str">
        <f t="shared" ref="F45:F76" si="9">IF($A45="","",F44+E45)</f>
        <v/>
      </c>
      <c r="G45" s="61" t="str">
        <f t="shared" si="7"/>
        <v/>
      </c>
      <c r="H45" s="4" t="e">
        <f t="shared" si="8"/>
        <v>#N/A</v>
      </c>
    </row>
    <row r="46" spans="1:8" x14ac:dyDescent="0.3">
      <c r="A46" s="55" t="str">
        <f>IF(35&gt;$E$4,"",$B$4+35-1)</f>
        <v/>
      </c>
      <c r="B46" s="57" t="str">
        <f t="shared" si="5"/>
        <v/>
      </c>
      <c r="C46" s="56" t="str">
        <f>IF($A46="","",SUMIFS('Income Schedule'!$C:$C,'Income Schedule'!$A:$A,$A46))</f>
        <v/>
      </c>
      <c r="D46" s="56" t="str">
        <f>IF($A46="","",SUMIFS('Upcoming Bills'!$C:$C,'Upcoming Bills'!$B:$B,$A46))</f>
        <v/>
      </c>
      <c r="E46" s="56" t="str">
        <f t="shared" si="6"/>
        <v/>
      </c>
      <c r="F46" s="56" t="str">
        <f t="shared" si="9"/>
        <v/>
      </c>
      <c r="G46" s="57" t="str">
        <f t="shared" si="7"/>
        <v/>
      </c>
      <c r="H46" s="4" t="e">
        <f t="shared" si="8"/>
        <v>#N/A</v>
      </c>
    </row>
    <row r="47" spans="1:8" x14ac:dyDescent="0.3">
      <c r="A47" s="59" t="str">
        <f>IF(36&gt;$E$4,"",$B$4+36-1)</f>
        <v/>
      </c>
      <c r="B47" s="61" t="str">
        <f t="shared" si="5"/>
        <v/>
      </c>
      <c r="C47" s="60" t="str">
        <f>IF($A47="","",SUMIFS('Income Schedule'!$C:$C,'Income Schedule'!$A:$A,$A47))</f>
        <v/>
      </c>
      <c r="D47" s="60" t="str">
        <f>IF($A47="","",SUMIFS('Upcoming Bills'!$C:$C,'Upcoming Bills'!$B:$B,$A47))</f>
        <v/>
      </c>
      <c r="E47" s="60" t="str">
        <f t="shared" si="6"/>
        <v/>
      </c>
      <c r="F47" s="60" t="str">
        <f t="shared" si="9"/>
        <v/>
      </c>
      <c r="G47" s="61" t="str">
        <f t="shared" si="7"/>
        <v/>
      </c>
      <c r="H47" s="4" t="e">
        <f t="shared" si="8"/>
        <v>#N/A</v>
      </c>
    </row>
    <row r="48" spans="1:8" x14ac:dyDescent="0.3">
      <c r="A48" s="55" t="str">
        <f>IF(37&gt;$E$4,"",$B$4+37-1)</f>
        <v/>
      </c>
      <c r="B48" s="57" t="str">
        <f t="shared" si="5"/>
        <v/>
      </c>
      <c r="C48" s="56" t="str">
        <f>IF($A48="","",SUMIFS('Income Schedule'!$C:$C,'Income Schedule'!$A:$A,$A48))</f>
        <v/>
      </c>
      <c r="D48" s="56" t="str">
        <f>IF($A48="","",SUMIFS('Upcoming Bills'!$C:$C,'Upcoming Bills'!$B:$B,$A48))</f>
        <v/>
      </c>
      <c r="E48" s="56" t="str">
        <f t="shared" si="6"/>
        <v/>
      </c>
      <c r="F48" s="56" t="str">
        <f t="shared" si="9"/>
        <v/>
      </c>
      <c r="G48" s="57" t="str">
        <f t="shared" si="7"/>
        <v/>
      </c>
      <c r="H48" s="4" t="e">
        <f t="shared" si="8"/>
        <v>#N/A</v>
      </c>
    </row>
    <row r="49" spans="1:8" x14ac:dyDescent="0.3">
      <c r="A49" s="59" t="str">
        <f>IF(38&gt;$E$4,"",$B$4+38-1)</f>
        <v/>
      </c>
      <c r="B49" s="61" t="str">
        <f t="shared" si="5"/>
        <v/>
      </c>
      <c r="C49" s="60" t="str">
        <f>IF($A49="","",SUMIFS('Income Schedule'!$C:$C,'Income Schedule'!$A:$A,$A49))</f>
        <v/>
      </c>
      <c r="D49" s="60" t="str">
        <f>IF($A49="","",SUMIFS('Upcoming Bills'!$C:$C,'Upcoming Bills'!$B:$B,$A49))</f>
        <v/>
      </c>
      <c r="E49" s="60" t="str">
        <f t="shared" si="6"/>
        <v/>
      </c>
      <c r="F49" s="60" t="str">
        <f t="shared" si="9"/>
        <v/>
      </c>
      <c r="G49" s="61" t="str">
        <f t="shared" si="7"/>
        <v/>
      </c>
      <c r="H49" s="4" t="e">
        <f t="shared" si="8"/>
        <v>#N/A</v>
      </c>
    </row>
    <row r="50" spans="1:8" x14ac:dyDescent="0.3">
      <c r="A50" s="55" t="str">
        <f>IF(39&gt;$E$4,"",$B$4+39-1)</f>
        <v/>
      </c>
      <c r="B50" s="57" t="str">
        <f t="shared" si="5"/>
        <v/>
      </c>
      <c r="C50" s="56" t="str">
        <f>IF($A50="","",SUMIFS('Income Schedule'!$C:$C,'Income Schedule'!$A:$A,$A50))</f>
        <v/>
      </c>
      <c r="D50" s="56" t="str">
        <f>IF($A50="","",SUMIFS('Upcoming Bills'!$C:$C,'Upcoming Bills'!$B:$B,$A50))</f>
        <v/>
      </c>
      <c r="E50" s="56" t="str">
        <f t="shared" si="6"/>
        <v/>
      </c>
      <c r="F50" s="56" t="str">
        <f t="shared" si="9"/>
        <v/>
      </c>
      <c r="G50" s="57" t="str">
        <f t="shared" si="7"/>
        <v/>
      </c>
      <c r="H50" s="4" t="e">
        <f t="shared" si="8"/>
        <v>#N/A</v>
      </c>
    </row>
    <row r="51" spans="1:8" x14ac:dyDescent="0.3">
      <c r="A51" s="59" t="str">
        <f>IF(40&gt;$E$4,"",$B$4+40-1)</f>
        <v/>
      </c>
      <c r="B51" s="61" t="str">
        <f t="shared" si="5"/>
        <v/>
      </c>
      <c r="C51" s="60" t="str">
        <f>IF($A51="","",SUMIFS('Income Schedule'!$C:$C,'Income Schedule'!$A:$A,$A51))</f>
        <v/>
      </c>
      <c r="D51" s="60" t="str">
        <f>IF($A51="","",SUMIFS('Upcoming Bills'!$C:$C,'Upcoming Bills'!$B:$B,$A51))</f>
        <v/>
      </c>
      <c r="E51" s="60" t="str">
        <f t="shared" si="6"/>
        <v/>
      </c>
      <c r="F51" s="60" t="str">
        <f t="shared" si="9"/>
        <v/>
      </c>
      <c r="G51" s="61" t="str">
        <f t="shared" si="7"/>
        <v/>
      </c>
      <c r="H51" s="4" t="e">
        <f t="shared" si="8"/>
        <v>#N/A</v>
      </c>
    </row>
    <row r="52" spans="1:8" x14ac:dyDescent="0.3">
      <c r="A52" s="55" t="str">
        <f>IF(41&gt;$E$4,"",$B$4+41-1)</f>
        <v/>
      </c>
      <c r="B52" s="57" t="str">
        <f t="shared" si="5"/>
        <v/>
      </c>
      <c r="C52" s="56" t="str">
        <f>IF($A52="","",SUMIFS('Income Schedule'!$C:$C,'Income Schedule'!$A:$A,$A52))</f>
        <v/>
      </c>
      <c r="D52" s="56" t="str">
        <f>IF($A52="","",SUMIFS('Upcoming Bills'!$C:$C,'Upcoming Bills'!$B:$B,$A52))</f>
        <v/>
      </c>
      <c r="E52" s="56" t="str">
        <f t="shared" si="6"/>
        <v/>
      </c>
      <c r="F52" s="56" t="str">
        <f t="shared" si="9"/>
        <v/>
      </c>
      <c r="G52" s="57" t="str">
        <f t="shared" si="7"/>
        <v/>
      </c>
      <c r="H52" s="4" t="e">
        <f t="shared" si="8"/>
        <v>#N/A</v>
      </c>
    </row>
    <row r="53" spans="1:8" x14ac:dyDescent="0.3">
      <c r="A53" s="59" t="str">
        <f>IF(42&gt;$E$4,"",$B$4+42-1)</f>
        <v/>
      </c>
      <c r="B53" s="61" t="str">
        <f t="shared" si="5"/>
        <v/>
      </c>
      <c r="C53" s="60" t="str">
        <f>IF($A53="","",SUMIFS('Income Schedule'!$C:$C,'Income Schedule'!$A:$A,$A53))</f>
        <v/>
      </c>
      <c r="D53" s="60" t="str">
        <f>IF($A53="","",SUMIFS('Upcoming Bills'!$C:$C,'Upcoming Bills'!$B:$B,$A53))</f>
        <v/>
      </c>
      <c r="E53" s="60" t="str">
        <f t="shared" si="6"/>
        <v/>
      </c>
      <c r="F53" s="60" t="str">
        <f t="shared" si="9"/>
        <v/>
      </c>
      <c r="G53" s="61" t="str">
        <f t="shared" si="7"/>
        <v/>
      </c>
      <c r="H53" s="4" t="e">
        <f t="shared" si="8"/>
        <v>#N/A</v>
      </c>
    </row>
    <row r="54" spans="1:8" x14ac:dyDescent="0.3">
      <c r="A54" s="55" t="str">
        <f>IF(43&gt;$E$4,"",$B$4+43-1)</f>
        <v/>
      </c>
      <c r="B54" s="57" t="str">
        <f t="shared" si="5"/>
        <v/>
      </c>
      <c r="C54" s="56" t="str">
        <f>IF($A54="","",SUMIFS('Income Schedule'!$C:$C,'Income Schedule'!$A:$A,$A54))</f>
        <v/>
      </c>
      <c r="D54" s="56" t="str">
        <f>IF($A54="","",SUMIFS('Upcoming Bills'!$C:$C,'Upcoming Bills'!$B:$B,$A54))</f>
        <v/>
      </c>
      <c r="E54" s="56" t="str">
        <f t="shared" si="6"/>
        <v/>
      </c>
      <c r="F54" s="56" t="str">
        <f t="shared" si="9"/>
        <v/>
      </c>
      <c r="G54" s="57" t="str">
        <f t="shared" si="7"/>
        <v/>
      </c>
      <c r="H54" s="4" t="e">
        <f t="shared" si="8"/>
        <v>#N/A</v>
      </c>
    </row>
    <row r="55" spans="1:8" x14ac:dyDescent="0.3">
      <c r="A55" s="59" t="str">
        <f>IF(44&gt;$E$4,"",$B$4+44-1)</f>
        <v/>
      </c>
      <c r="B55" s="61" t="str">
        <f t="shared" si="5"/>
        <v/>
      </c>
      <c r="C55" s="60" t="str">
        <f>IF($A55="","",SUMIFS('Income Schedule'!$C:$C,'Income Schedule'!$A:$A,$A55))</f>
        <v/>
      </c>
      <c r="D55" s="60" t="str">
        <f>IF($A55="","",SUMIFS('Upcoming Bills'!$C:$C,'Upcoming Bills'!$B:$B,$A55))</f>
        <v/>
      </c>
      <c r="E55" s="60" t="str">
        <f t="shared" si="6"/>
        <v/>
      </c>
      <c r="F55" s="60" t="str">
        <f t="shared" si="9"/>
        <v/>
      </c>
      <c r="G55" s="61" t="str">
        <f t="shared" si="7"/>
        <v/>
      </c>
      <c r="H55" s="4" t="e">
        <f t="shared" si="8"/>
        <v>#N/A</v>
      </c>
    </row>
    <row r="56" spans="1:8" x14ac:dyDescent="0.3">
      <c r="A56" s="55" t="str">
        <f>IF(45&gt;$E$4,"",$B$4+45-1)</f>
        <v/>
      </c>
      <c r="B56" s="57" t="str">
        <f t="shared" si="5"/>
        <v/>
      </c>
      <c r="C56" s="56" t="str">
        <f>IF($A56="","",SUMIFS('Income Schedule'!$C:$C,'Income Schedule'!$A:$A,$A56))</f>
        <v/>
      </c>
      <c r="D56" s="56" t="str">
        <f>IF($A56="","",SUMIFS('Upcoming Bills'!$C:$C,'Upcoming Bills'!$B:$B,$A56))</f>
        <v/>
      </c>
      <c r="E56" s="56" t="str">
        <f t="shared" si="6"/>
        <v/>
      </c>
      <c r="F56" s="56" t="str">
        <f t="shared" si="9"/>
        <v/>
      </c>
      <c r="G56" s="57" t="str">
        <f t="shared" si="7"/>
        <v/>
      </c>
      <c r="H56" s="4" t="e">
        <f t="shared" si="8"/>
        <v>#N/A</v>
      </c>
    </row>
    <row r="57" spans="1:8" x14ac:dyDescent="0.3">
      <c r="A57" s="59" t="str">
        <f>IF(46&gt;$E$4,"",$B$4+46-1)</f>
        <v/>
      </c>
      <c r="B57" s="61" t="str">
        <f t="shared" si="5"/>
        <v/>
      </c>
      <c r="C57" s="60" t="str">
        <f>IF($A57="","",SUMIFS('Income Schedule'!$C:$C,'Income Schedule'!$A:$A,$A57))</f>
        <v/>
      </c>
      <c r="D57" s="60" t="str">
        <f>IF($A57="","",SUMIFS('Upcoming Bills'!$C:$C,'Upcoming Bills'!$B:$B,$A57))</f>
        <v/>
      </c>
      <c r="E57" s="60" t="str">
        <f t="shared" si="6"/>
        <v/>
      </c>
      <c r="F57" s="60" t="str">
        <f t="shared" si="9"/>
        <v/>
      </c>
      <c r="G57" s="61" t="str">
        <f t="shared" si="7"/>
        <v/>
      </c>
      <c r="H57" s="4" t="e">
        <f t="shared" si="8"/>
        <v>#N/A</v>
      </c>
    </row>
    <row r="58" spans="1:8" x14ac:dyDescent="0.3">
      <c r="A58" s="55" t="str">
        <f>IF(47&gt;$E$4,"",$B$4+47-1)</f>
        <v/>
      </c>
      <c r="B58" s="57" t="str">
        <f t="shared" si="5"/>
        <v/>
      </c>
      <c r="C58" s="56" t="str">
        <f>IF($A58="","",SUMIFS('Income Schedule'!$C:$C,'Income Schedule'!$A:$A,$A58))</f>
        <v/>
      </c>
      <c r="D58" s="56" t="str">
        <f>IF($A58="","",SUMIFS('Upcoming Bills'!$C:$C,'Upcoming Bills'!$B:$B,$A58))</f>
        <v/>
      </c>
      <c r="E58" s="56" t="str">
        <f t="shared" si="6"/>
        <v/>
      </c>
      <c r="F58" s="56" t="str">
        <f t="shared" si="9"/>
        <v/>
      </c>
      <c r="G58" s="57" t="str">
        <f t="shared" si="7"/>
        <v/>
      </c>
      <c r="H58" s="4" t="e">
        <f t="shared" si="8"/>
        <v>#N/A</v>
      </c>
    </row>
    <row r="59" spans="1:8" x14ac:dyDescent="0.3">
      <c r="A59" s="59" t="str">
        <f>IF(48&gt;$E$4,"",$B$4+48-1)</f>
        <v/>
      </c>
      <c r="B59" s="61" t="str">
        <f t="shared" si="5"/>
        <v/>
      </c>
      <c r="C59" s="60" t="str">
        <f>IF($A59="","",SUMIFS('Income Schedule'!$C:$C,'Income Schedule'!$A:$A,$A59))</f>
        <v/>
      </c>
      <c r="D59" s="60" t="str">
        <f>IF($A59="","",SUMIFS('Upcoming Bills'!$C:$C,'Upcoming Bills'!$B:$B,$A59))</f>
        <v/>
      </c>
      <c r="E59" s="60" t="str">
        <f t="shared" si="6"/>
        <v/>
      </c>
      <c r="F59" s="60" t="str">
        <f t="shared" si="9"/>
        <v/>
      </c>
      <c r="G59" s="61" t="str">
        <f t="shared" si="7"/>
        <v/>
      </c>
      <c r="H59" s="4" t="e">
        <f t="shared" si="8"/>
        <v>#N/A</v>
      </c>
    </row>
    <row r="60" spans="1:8" x14ac:dyDescent="0.3">
      <c r="A60" s="55" t="str">
        <f>IF(49&gt;$E$4,"",$B$4+49-1)</f>
        <v/>
      </c>
      <c r="B60" s="57" t="str">
        <f t="shared" si="5"/>
        <v/>
      </c>
      <c r="C60" s="56" t="str">
        <f>IF($A60="","",SUMIFS('Income Schedule'!$C:$C,'Income Schedule'!$A:$A,$A60))</f>
        <v/>
      </c>
      <c r="D60" s="56" t="str">
        <f>IF($A60="","",SUMIFS('Upcoming Bills'!$C:$C,'Upcoming Bills'!$B:$B,$A60))</f>
        <v/>
      </c>
      <c r="E60" s="56" t="str">
        <f t="shared" si="6"/>
        <v/>
      </c>
      <c r="F60" s="56" t="str">
        <f t="shared" si="9"/>
        <v/>
      </c>
      <c r="G60" s="57" t="str">
        <f t="shared" si="7"/>
        <v/>
      </c>
      <c r="H60" s="4" t="e">
        <f t="shared" si="8"/>
        <v>#N/A</v>
      </c>
    </row>
    <row r="61" spans="1:8" x14ac:dyDescent="0.3">
      <c r="A61" s="59" t="str">
        <f>IF(50&gt;$E$4,"",$B$4+50-1)</f>
        <v/>
      </c>
      <c r="B61" s="61" t="str">
        <f t="shared" si="5"/>
        <v/>
      </c>
      <c r="C61" s="60" t="str">
        <f>IF($A61="","",SUMIFS('Income Schedule'!$C:$C,'Income Schedule'!$A:$A,$A61))</f>
        <v/>
      </c>
      <c r="D61" s="60" t="str">
        <f>IF($A61="","",SUMIFS('Upcoming Bills'!$C:$C,'Upcoming Bills'!$B:$B,$A61))</f>
        <v/>
      </c>
      <c r="E61" s="60" t="str">
        <f t="shared" si="6"/>
        <v/>
      </c>
      <c r="F61" s="60" t="str">
        <f t="shared" si="9"/>
        <v/>
      </c>
      <c r="G61" s="61" t="str">
        <f t="shared" si="7"/>
        <v/>
      </c>
      <c r="H61" s="4" t="e">
        <f t="shared" si="8"/>
        <v>#N/A</v>
      </c>
    </row>
    <row r="62" spans="1:8" x14ac:dyDescent="0.3">
      <c r="A62" s="55" t="str">
        <f>IF(51&gt;$E$4,"",$B$4+51-1)</f>
        <v/>
      </c>
      <c r="B62" s="57" t="str">
        <f t="shared" si="5"/>
        <v/>
      </c>
      <c r="C62" s="56" t="str">
        <f>IF($A62="","",SUMIFS('Income Schedule'!$C:$C,'Income Schedule'!$A:$A,$A62))</f>
        <v/>
      </c>
      <c r="D62" s="56" t="str">
        <f>IF($A62="","",SUMIFS('Upcoming Bills'!$C:$C,'Upcoming Bills'!$B:$B,$A62))</f>
        <v/>
      </c>
      <c r="E62" s="56" t="str">
        <f t="shared" si="6"/>
        <v/>
      </c>
      <c r="F62" s="56" t="str">
        <f t="shared" si="9"/>
        <v/>
      </c>
      <c r="G62" s="57" t="str">
        <f t="shared" si="7"/>
        <v/>
      </c>
      <c r="H62" s="4" t="e">
        <f t="shared" si="8"/>
        <v>#N/A</v>
      </c>
    </row>
    <row r="63" spans="1:8" x14ac:dyDescent="0.3">
      <c r="A63" s="59" t="str">
        <f>IF(52&gt;$E$4,"",$B$4+52-1)</f>
        <v/>
      </c>
      <c r="B63" s="61" t="str">
        <f t="shared" si="5"/>
        <v/>
      </c>
      <c r="C63" s="60" t="str">
        <f>IF($A63="","",SUMIFS('Income Schedule'!$C:$C,'Income Schedule'!$A:$A,$A63))</f>
        <v/>
      </c>
      <c r="D63" s="60" t="str">
        <f>IF($A63="","",SUMIFS('Upcoming Bills'!$C:$C,'Upcoming Bills'!$B:$B,$A63))</f>
        <v/>
      </c>
      <c r="E63" s="60" t="str">
        <f t="shared" si="6"/>
        <v/>
      </c>
      <c r="F63" s="60" t="str">
        <f t="shared" si="9"/>
        <v/>
      </c>
      <c r="G63" s="61" t="str">
        <f t="shared" si="7"/>
        <v/>
      </c>
      <c r="H63" s="4" t="e">
        <f t="shared" si="8"/>
        <v>#N/A</v>
      </c>
    </row>
    <row r="64" spans="1:8" x14ac:dyDescent="0.3">
      <c r="A64" s="55" t="str">
        <f>IF(53&gt;$E$4,"",$B$4+53-1)</f>
        <v/>
      </c>
      <c r="B64" s="57" t="str">
        <f t="shared" si="5"/>
        <v/>
      </c>
      <c r="C64" s="56" t="str">
        <f>IF($A64="","",SUMIFS('Income Schedule'!$C:$C,'Income Schedule'!$A:$A,$A64))</f>
        <v/>
      </c>
      <c r="D64" s="56" t="str">
        <f>IF($A64="","",SUMIFS('Upcoming Bills'!$C:$C,'Upcoming Bills'!$B:$B,$A64))</f>
        <v/>
      </c>
      <c r="E64" s="56" t="str">
        <f t="shared" si="6"/>
        <v/>
      </c>
      <c r="F64" s="56" t="str">
        <f t="shared" si="9"/>
        <v/>
      </c>
      <c r="G64" s="57" t="str">
        <f t="shared" si="7"/>
        <v/>
      </c>
      <c r="H64" s="4" t="e">
        <f t="shared" si="8"/>
        <v>#N/A</v>
      </c>
    </row>
    <row r="65" spans="1:8" x14ac:dyDescent="0.3">
      <c r="A65" s="59" t="str">
        <f>IF(54&gt;$E$4,"",$B$4+54-1)</f>
        <v/>
      </c>
      <c r="B65" s="61" t="str">
        <f t="shared" si="5"/>
        <v/>
      </c>
      <c r="C65" s="60" t="str">
        <f>IF($A65="","",SUMIFS('Income Schedule'!$C:$C,'Income Schedule'!$A:$A,$A65))</f>
        <v/>
      </c>
      <c r="D65" s="60" t="str">
        <f>IF($A65="","",SUMIFS('Upcoming Bills'!$C:$C,'Upcoming Bills'!$B:$B,$A65))</f>
        <v/>
      </c>
      <c r="E65" s="60" t="str">
        <f t="shared" si="6"/>
        <v/>
      </c>
      <c r="F65" s="60" t="str">
        <f t="shared" si="9"/>
        <v/>
      </c>
      <c r="G65" s="61" t="str">
        <f t="shared" si="7"/>
        <v/>
      </c>
      <c r="H65" s="4" t="e">
        <f t="shared" si="8"/>
        <v>#N/A</v>
      </c>
    </row>
    <row r="66" spans="1:8" x14ac:dyDescent="0.3">
      <c r="A66" s="55" t="str">
        <f>IF(55&gt;$E$4,"",$B$4+55-1)</f>
        <v/>
      </c>
      <c r="B66" s="57" t="str">
        <f t="shared" si="5"/>
        <v/>
      </c>
      <c r="C66" s="56" t="str">
        <f>IF($A66="","",SUMIFS('Income Schedule'!$C:$C,'Income Schedule'!$A:$A,$A66))</f>
        <v/>
      </c>
      <c r="D66" s="56" t="str">
        <f>IF($A66="","",SUMIFS('Upcoming Bills'!$C:$C,'Upcoming Bills'!$B:$B,$A66))</f>
        <v/>
      </c>
      <c r="E66" s="56" t="str">
        <f t="shared" si="6"/>
        <v/>
      </c>
      <c r="F66" s="56" t="str">
        <f t="shared" si="9"/>
        <v/>
      </c>
      <c r="G66" s="57" t="str">
        <f t="shared" si="7"/>
        <v/>
      </c>
      <c r="H66" s="4" t="e">
        <f t="shared" si="8"/>
        <v>#N/A</v>
      </c>
    </row>
    <row r="67" spans="1:8" x14ac:dyDescent="0.3">
      <c r="A67" s="59" t="str">
        <f>IF(56&gt;$E$4,"",$B$4+56-1)</f>
        <v/>
      </c>
      <c r="B67" s="61" t="str">
        <f t="shared" si="5"/>
        <v/>
      </c>
      <c r="C67" s="60" t="str">
        <f>IF($A67="","",SUMIFS('Income Schedule'!$C:$C,'Income Schedule'!$A:$A,$A67))</f>
        <v/>
      </c>
      <c r="D67" s="60" t="str">
        <f>IF($A67="","",SUMIFS('Upcoming Bills'!$C:$C,'Upcoming Bills'!$B:$B,$A67))</f>
        <v/>
      </c>
      <c r="E67" s="60" t="str">
        <f t="shared" si="6"/>
        <v/>
      </c>
      <c r="F67" s="60" t="str">
        <f t="shared" si="9"/>
        <v/>
      </c>
      <c r="G67" s="61" t="str">
        <f t="shared" si="7"/>
        <v/>
      </c>
      <c r="H67" s="4" t="e">
        <f t="shared" si="8"/>
        <v>#N/A</v>
      </c>
    </row>
    <row r="68" spans="1:8" x14ac:dyDescent="0.3">
      <c r="A68" s="55" t="str">
        <f>IF(57&gt;$E$4,"",$B$4+57-1)</f>
        <v/>
      </c>
      <c r="B68" s="57" t="str">
        <f t="shared" si="5"/>
        <v/>
      </c>
      <c r="C68" s="56" t="str">
        <f>IF($A68="","",SUMIFS('Income Schedule'!$C:$C,'Income Schedule'!$A:$A,$A68))</f>
        <v/>
      </c>
      <c r="D68" s="56" t="str">
        <f>IF($A68="","",SUMIFS('Upcoming Bills'!$C:$C,'Upcoming Bills'!$B:$B,$A68))</f>
        <v/>
      </c>
      <c r="E68" s="56" t="str">
        <f t="shared" si="6"/>
        <v/>
      </c>
      <c r="F68" s="56" t="str">
        <f t="shared" si="9"/>
        <v/>
      </c>
      <c r="G68" s="57" t="str">
        <f t="shared" si="7"/>
        <v/>
      </c>
      <c r="H68" s="4" t="e">
        <f t="shared" si="8"/>
        <v>#N/A</v>
      </c>
    </row>
    <row r="69" spans="1:8" x14ac:dyDescent="0.3">
      <c r="A69" s="59" t="str">
        <f>IF(58&gt;$E$4,"",$B$4+58-1)</f>
        <v/>
      </c>
      <c r="B69" s="61" t="str">
        <f t="shared" si="5"/>
        <v/>
      </c>
      <c r="C69" s="60" t="str">
        <f>IF($A69="","",SUMIFS('Income Schedule'!$C:$C,'Income Schedule'!$A:$A,$A69))</f>
        <v/>
      </c>
      <c r="D69" s="60" t="str">
        <f>IF($A69="","",SUMIFS('Upcoming Bills'!$C:$C,'Upcoming Bills'!$B:$B,$A69))</f>
        <v/>
      </c>
      <c r="E69" s="60" t="str">
        <f t="shared" si="6"/>
        <v/>
      </c>
      <c r="F69" s="60" t="str">
        <f t="shared" si="9"/>
        <v/>
      </c>
      <c r="G69" s="61" t="str">
        <f t="shared" si="7"/>
        <v/>
      </c>
      <c r="H69" s="4" t="e">
        <f t="shared" si="8"/>
        <v>#N/A</v>
      </c>
    </row>
    <row r="70" spans="1:8" x14ac:dyDescent="0.3">
      <c r="A70" s="55" t="str">
        <f>IF(59&gt;$E$4,"",$B$4+59-1)</f>
        <v/>
      </c>
      <c r="B70" s="57" t="str">
        <f t="shared" si="5"/>
        <v/>
      </c>
      <c r="C70" s="56" t="str">
        <f>IF($A70="","",SUMIFS('Income Schedule'!$C:$C,'Income Schedule'!$A:$A,$A70))</f>
        <v/>
      </c>
      <c r="D70" s="56" t="str">
        <f>IF($A70="","",SUMIFS('Upcoming Bills'!$C:$C,'Upcoming Bills'!$B:$B,$A70))</f>
        <v/>
      </c>
      <c r="E70" s="56" t="str">
        <f t="shared" si="6"/>
        <v/>
      </c>
      <c r="F70" s="56" t="str">
        <f t="shared" si="9"/>
        <v/>
      </c>
      <c r="G70" s="57" t="str">
        <f t="shared" si="7"/>
        <v/>
      </c>
      <c r="H70" s="4" t="e">
        <f t="shared" si="8"/>
        <v>#N/A</v>
      </c>
    </row>
    <row r="71" spans="1:8" x14ac:dyDescent="0.3">
      <c r="A71" s="59" t="str">
        <f>IF(60&gt;$E$4,"",$B$4+60-1)</f>
        <v/>
      </c>
      <c r="B71" s="61" t="str">
        <f t="shared" si="5"/>
        <v/>
      </c>
      <c r="C71" s="60" t="str">
        <f>IF($A71="","",SUMIFS('Income Schedule'!$C:$C,'Income Schedule'!$A:$A,$A71))</f>
        <v/>
      </c>
      <c r="D71" s="60" t="str">
        <f>IF($A71="","",SUMIFS('Upcoming Bills'!$C:$C,'Upcoming Bills'!$B:$B,$A71))</f>
        <v/>
      </c>
      <c r="E71" s="60" t="str">
        <f t="shared" si="6"/>
        <v/>
      </c>
      <c r="F71" s="60" t="str">
        <f t="shared" si="9"/>
        <v/>
      </c>
      <c r="G71" s="61" t="str">
        <f t="shared" si="7"/>
        <v/>
      </c>
      <c r="H71" s="4" t="e">
        <f t="shared" si="8"/>
        <v>#N/A</v>
      </c>
    </row>
    <row r="72" spans="1:8" x14ac:dyDescent="0.3">
      <c r="A72" s="55" t="str">
        <f>IF(61&gt;$E$4,"",$B$4+61-1)</f>
        <v/>
      </c>
      <c r="B72" s="57" t="str">
        <f t="shared" si="5"/>
        <v/>
      </c>
      <c r="C72" s="56" t="str">
        <f>IF($A72="","",SUMIFS('Income Schedule'!$C:$C,'Income Schedule'!$A:$A,$A72))</f>
        <v/>
      </c>
      <c r="D72" s="56" t="str">
        <f>IF($A72="","",SUMIFS('Upcoming Bills'!$C:$C,'Upcoming Bills'!$B:$B,$A72))</f>
        <v/>
      </c>
      <c r="E72" s="56" t="str">
        <f t="shared" si="6"/>
        <v/>
      </c>
      <c r="F72" s="56" t="str">
        <f t="shared" si="9"/>
        <v/>
      </c>
      <c r="G72" s="57" t="str">
        <f t="shared" si="7"/>
        <v/>
      </c>
      <c r="H72" s="4" t="e">
        <f t="shared" si="8"/>
        <v>#N/A</v>
      </c>
    </row>
    <row r="73" spans="1:8" x14ac:dyDescent="0.3">
      <c r="A73" s="59" t="str">
        <f>IF(62&gt;$E$4,"",$B$4+62-1)</f>
        <v/>
      </c>
      <c r="B73" s="61" t="str">
        <f t="shared" si="5"/>
        <v/>
      </c>
      <c r="C73" s="60" t="str">
        <f>IF($A73="","",SUMIFS('Income Schedule'!$C:$C,'Income Schedule'!$A:$A,$A73))</f>
        <v/>
      </c>
      <c r="D73" s="60" t="str">
        <f>IF($A73="","",SUMIFS('Upcoming Bills'!$C:$C,'Upcoming Bills'!$B:$B,$A73))</f>
        <v/>
      </c>
      <c r="E73" s="60" t="str">
        <f t="shared" si="6"/>
        <v/>
      </c>
      <c r="F73" s="60" t="str">
        <f t="shared" si="9"/>
        <v/>
      </c>
      <c r="G73" s="61" t="str">
        <f t="shared" si="7"/>
        <v/>
      </c>
      <c r="H73" s="4" t="e">
        <f t="shared" si="8"/>
        <v>#N/A</v>
      </c>
    </row>
    <row r="74" spans="1:8" x14ac:dyDescent="0.3">
      <c r="A74" s="55" t="str">
        <f>IF(63&gt;$E$4,"",$B$4+63-1)</f>
        <v/>
      </c>
      <c r="B74" s="57" t="str">
        <f t="shared" si="5"/>
        <v/>
      </c>
      <c r="C74" s="56" t="str">
        <f>IF($A74="","",SUMIFS('Income Schedule'!$C:$C,'Income Schedule'!$A:$A,$A74))</f>
        <v/>
      </c>
      <c r="D74" s="56" t="str">
        <f>IF($A74="","",SUMIFS('Upcoming Bills'!$C:$C,'Upcoming Bills'!$B:$B,$A74))</f>
        <v/>
      </c>
      <c r="E74" s="56" t="str">
        <f t="shared" si="6"/>
        <v/>
      </c>
      <c r="F74" s="56" t="str">
        <f t="shared" si="9"/>
        <v/>
      </c>
      <c r="G74" s="57" t="str">
        <f t="shared" si="7"/>
        <v/>
      </c>
      <c r="H74" s="4" t="e">
        <f t="shared" si="8"/>
        <v>#N/A</v>
      </c>
    </row>
    <row r="75" spans="1:8" x14ac:dyDescent="0.3">
      <c r="A75" s="59" t="str">
        <f>IF(64&gt;$E$4,"",$B$4+64-1)</f>
        <v/>
      </c>
      <c r="B75" s="61" t="str">
        <f t="shared" si="5"/>
        <v/>
      </c>
      <c r="C75" s="60" t="str">
        <f>IF($A75="","",SUMIFS('Income Schedule'!$C:$C,'Income Schedule'!$A:$A,$A75))</f>
        <v/>
      </c>
      <c r="D75" s="60" t="str">
        <f>IF($A75="","",SUMIFS('Upcoming Bills'!$C:$C,'Upcoming Bills'!$B:$B,$A75))</f>
        <v/>
      </c>
      <c r="E75" s="60" t="str">
        <f t="shared" si="6"/>
        <v/>
      </c>
      <c r="F75" s="60" t="str">
        <f t="shared" si="9"/>
        <v/>
      </c>
      <c r="G75" s="61" t="str">
        <f t="shared" si="7"/>
        <v/>
      </c>
      <c r="H75" s="4" t="e">
        <f t="shared" si="8"/>
        <v>#N/A</v>
      </c>
    </row>
    <row r="76" spans="1:8" x14ac:dyDescent="0.3">
      <c r="A76" s="55" t="str">
        <f>IF(65&gt;$E$4,"",$B$4+65-1)</f>
        <v/>
      </c>
      <c r="B76" s="57" t="str">
        <f t="shared" ref="B76:B107" si="10">IF($A76="","",TEXT($A76,"ddd"))</f>
        <v/>
      </c>
      <c r="C76" s="56" t="str">
        <f>IF($A76="","",SUMIFS('Income Schedule'!$C:$C,'Income Schedule'!$A:$A,$A76))</f>
        <v/>
      </c>
      <c r="D76" s="56" t="str">
        <f>IF($A76="","",SUMIFS('Upcoming Bills'!$C:$C,'Upcoming Bills'!$B:$B,$A76))</f>
        <v/>
      </c>
      <c r="E76" s="56" t="str">
        <f t="shared" ref="E76:E107" si="11">IF($A76="","",C76-D76)</f>
        <v/>
      </c>
      <c r="F76" s="56" t="str">
        <f t="shared" si="9"/>
        <v/>
      </c>
      <c r="G76" s="57" t="str">
        <f t="shared" ref="G76:G107" si="12">IF($A76="","",IF(C76&gt;0,"Income","")&amp;IF(AND(C76&gt;0,D76&gt;0)," • ","")&amp;IF(D76&gt;0,"Bills",""))</f>
        <v/>
      </c>
      <c r="H76" s="4" t="e">
        <f t="shared" ref="H76:H107" si="13">IF($A76="",NA(),$F76)</f>
        <v>#N/A</v>
      </c>
    </row>
    <row r="77" spans="1:8" x14ac:dyDescent="0.3">
      <c r="A77" s="59" t="str">
        <f>IF(66&gt;$E$4,"",$B$4+66-1)</f>
        <v/>
      </c>
      <c r="B77" s="61" t="str">
        <f t="shared" si="10"/>
        <v/>
      </c>
      <c r="C77" s="60" t="str">
        <f>IF($A77="","",SUMIFS('Income Schedule'!$C:$C,'Income Schedule'!$A:$A,$A77))</f>
        <v/>
      </c>
      <c r="D77" s="60" t="str">
        <f>IF($A77="","",SUMIFS('Upcoming Bills'!$C:$C,'Upcoming Bills'!$B:$B,$A77))</f>
        <v/>
      </c>
      <c r="E77" s="60" t="str">
        <f t="shared" si="11"/>
        <v/>
      </c>
      <c r="F77" s="60" t="str">
        <f t="shared" ref="F77:F108" si="14">IF($A77="","",F76+E77)</f>
        <v/>
      </c>
      <c r="G77" s="61" t="str">
        <f t="shared" si="12"/>
        <v/>
      </c>
      <c r="H77" s="4" t="e">
        <f t="shared" si="13"/>
        <v>#N/A</v>
      </c>
    </row>
    <row r="78" spans="1:8" x14ac:dyDescent="0.3">
      <c r="A78" s="55" t="str">
        <f>IF(67&gt;$E$4,"",$B$4+67-1)</f>
        <v/>
      </c>
      <c r="B78" s="57" t="str">
        <f t="shared" si="10"/>
        <v/>
      </c>
      <c r="C78" s="56" t="str">
        <f>IF($A78="","",SUMIFS('Income Schedule'!$C:$C,'Income Schedule'!$A:$A,$A78))</f>
        <v/>
      </c>
      <c r="D78" s="56" t="str">
        <f>IF($A78="","",SUMIFS('Upcoming Bills'!$C:$C,'Upcoming Bills'!$B:$B,$A78))</f>
        <v/>
      </c>
      <c r="E78" s="56" t="str">
        <f t="shared" si="11"/>
        <v/>
      </c>
      <c r="F78" s="56" t="str">
        <f t="shared" si="14"/>
        <v/>
      </c>
      <c r="G78" s="57" t="str">
        <f t="shared" si="12"/>
        <v/>
      </c>
      <c r="H78" s="4" t="e">
        <f t="shared" si="13"/>
        <v>#N/A</v>
      </c>
    </row>
    <row r="79" spans="1:8" x14ac:dyDescent="0.3">
      <c r="A79" s="59" t="str">
        <f>IF(68&gt;$E$4,"",$B$4+68-1)</f>
        <v/>
      </c>
      <c r="B79" s="61" t="str">
        <f t="shared" si="10"/>
        <v/>
      </c>
      <c r="C79" s="60" t="str">
        <f>IF($A79="","",SUMIFS('Income Schedule'!$C:$C,'Income Schedule'!$A:$A,$A79))</f>
        <v/>
      </c>
      <c r="D79" s="60" t="str">
        <f>IF($A79="","",SUMIFS('Upcoming Bills'!$C:$C,'Upcoming Bills'!$B:$B,$A79))</f>
        <v/>
      </c>
      <c r="E79" s="60" t="str">
        <f t="shared" si="11"/>
        <v/>
      </c>
      <c r="F79" s="60" t="str">
        <f t="shared" si="14"/>
        <v/>
      </c>
      <c r="G79" s="61" t="str">
        <f t="shared" si="12"/>
        <v/>
      </c>
      <c r="H79" s="4" t="e">
        <f t="shared" si="13"/>
        <v>#N/A</v>
      </c>
    </row>
    <row r="80" spans="1:8" x14ac:dyDescent="0.3">
      <c r="A80" s="55" t="str">
        <f>IF(69&gt;$E$4,"",$B$4+69-1)</f>
        <v/>
      </c>
      <c r="B80" s="57" t="str">
        <f t="shared" si="10"/>
        <v/>
      </c>
      <c r="C80" s="56" t="str">
        <f>IF($A80="","",SUMIFS('Income Schedule'!$C:$C,'Income Schedule'!$A:$A,$A80))</f>
        <v/>
      </c>
      <c r="D80" s="56" t="str">
        <f>IF($A80="","",SUMIFS('Upcoming Bills'!$C:$C,'Upcoming Bills'!$B:$B,$A80))</f>
        <v/>
      </c>
      <c r="E80" s="56" t="str">
        <f t="shared" si="11"/>
        <v/>
      </c>
      <c r="F80" s="56" t="str">
        <f t="shared" si="14"/>
        <v/>
      </c>
      <c r="G80" s="57" t="str">
        <f t="shared" si="12"/>
        <v/>
      </c>
      <c r="H80" s="4" t="e">
        <f t="shared" si="13"/>
        <v>#N/A</v>
      </c>
    </row>
    <row r="81" spans="1:8" x14ac:dyDescent="0.3">
      <c r="A81" s="59" t="str">
        <f>IF(70&gt;$E$4,"",$B$4+70-1)</f>
        <v/>
      </c>
      <c r="B81" s="61" t="str">
        <f t="shared" si="10"/>
        <v/>
      </c>
      <c r="C81" s="60" t="str">
        <f>IF($A81="","",SUMIFS('Income Schedule'!$C:$C,'Income Schedule'!$A:$A,$A81))</f>
        <v/>
      </c>
      <c r="D81" s="60" t="str">
        <f>IF($A81="","",SUMIFS('Upcoming Bills'!$C:$C,'Upcoming Bills'!$B:$B,$A81))</f>
        <v/>
      </c>
      <c r="E81" s="60" t="str">
        <f t="shared" si="11"/>
        <v/>
      </c>
      <c r="F81" s="60" t="str">
        <f t="shared" si="14"/>
        <v/>
      </c>
      <c r="G81" s="61" t="str">
        <f t="shared" si="12"/>
        <v/>
      </c>
      <c r="H81" s="4" t="e">
        <f t="shared" si="13"/>
        <v>#N/A</v>
      </c>
    </row>
    <row r="82" spans="1:8" x14ac:dyDescent="0.3">
      <c r="A82" s="55" t="str">
        <f>IF(71&gt;$E$4,"",$B$4+71-1)</f>
        <v/>
      </c>
      <c r="B82" s="57" t="str">
        <f t="shared" si="10"/>
        <v/>
      </c>
      <c r="C82" s="56" t="str">
        <f>IF($A82="","",SUMIFS('Income Schedule'!$C:$C,'Income Schedule'!$A:$A,$A82))</f>
        <v/>
      </c>
      <c r="D82" s="56" t="str">
        <f>IF($A82="","",SUMIFS('Upcoming Bills'!$C:$C,'Upcoming Bills'!$B:$B,$A82))</f>
        <v/>
      </c>
      <c r="E82" s="56" t="str">
        <f t="shared" si="11"/>
        <v/>
      </c>
      <c r="F82" s="56" t="str">
        <f t="shared" si="14"/>
        <v/>
      </c>
      <c r="G82" s="57" t="str">
        <f t="shared" si="12"/>
        <v/>
      </c>
      <c r="H82" s="4" t="e">
        <f t="shared" si="13"/>
        <v>#N/A</v>
      </c>
    </row>
    <row r="83" spans="1:8" x14ac:dyDescent="0.3">
      <c r="A83" s="59" t="str">
        <f>IF(72&gt;$E$4,"",$B$4+72-1)</f>
        <v/>
      </c>
      <c r="B83" s="61" t="str">
        <f t="shared" si="10"/>
        <v/>
      </c>
      <c r="C83" s="60" t="str">
        <f>IF($A83="","",SUMIFS('Income Schedule'!$C:$C,'Income Schedule'!$A:$A,$A83))</f>
        <v/>
      </c>
      <c r="D83" s="60" t="str">
        <f>IF($A83="","",SUMIFS('Upcoming Bills'!$C:$C,'Upcoming Bills'!$B:$B,$A83))</f>
        <v/>
      </c>
      <c r="E83" s="60" t="str">
        <f t="shared" si="11"/>
        <v/>
      </c>
      <c r="F83" s="60" t="str">
        <f t="shared" si="14"/>
        <v/>
      </c>
      <c r="G83" s="61" t="str">
        <f t="shared" si="12"/>
        <v/>
      </c>
      <c r="H83" s="4" t="e">
        <f t="shared" si="13"/>
        <v>#N/A</v>
      </c>
    </row>
    <row r="84" spans="1:8" x14ac:dyDescent="0.3">
      <c r="A84" s="55" t="str">
        <f>IF(73&gt;$E$4,"",$B$4+73-1)</f>
        <v/>
      </c>
      <c r="B84" s="57" t="str">
        <f t="shared" si="10"/>
        <v/>
      </c>
      <c r="C84" s="56" t="str">
        <f>IF($A84="","",SUMIFS('Income Schedule'!$C:$C,'Income Schedule'!$A:$A,$A84))</f>
        <v/>
      </c>
      <c r="D84" s="56" t="str">
        <f>IF($A84="","",SUMIFS('Upcoming Bills'!$C:$C,'Upcoming Bills'!$B:$B,$A84))</f>
        <v/>
      </c>
      <c r="E84" s="56" t="str">
        <f t="shared" si="11"/>
        <v/>
      </c>
      <c r="F84" s="56" t="str">
        <f t="shared" si="14"/>
        <v/>
      </c>
      <c r="G84" s="57" t="str">
        <f t="shared" si="12"/>
        <v/>
      </c>
      <c r="H84" s="4" t="e">
        <f t="shared" si="13"/>
        <v>#N/A</v>
      </c>
    </row>
    <row r="85" spans="1:8" x14ac:dyDescent="0.3">
      <c r="A85" s="59" t="str">
        <f>IF(74&gt;$E$4,"",$B$4+74-1)</f>
        <v/>
      </c>
      <c r="B85" s="61" t="str">
        <f t="shared" si="10"/>
        <v/>
      </c>
      <c r="C85" s="60" t="str">
        <f>IF($A85="","",SUMIFS('Income Schedule'!$C:$C,'Income Schedule'!$A:$A,$A85))</f>
        <v/>
      </c>
      <c r="D85" s="60" t="str">
        <f>IF($A85="","",SUMIFS('Upcoming Bills'!$C:$C,'Upcoming Bills'!$B:$B,$A85))</f>
        <v/>
      </c>
      <c r="E85" s="60" t="str">
        <f t="shared" si="11"/>
        <v/>
      </c>
      <c r="F85" s="60" t="str">
        <f t="shared" si="14"/>
        <v/>
      </c>
      <c r="G85" s="61" t="str">
        <f t="shared" si="12"/>
        <v/>
      </c>
      <c r="H85" s="4" t="e">
        <f t="shared" si="13"/>
        <v>#N/A</v>
      </c>
    </row>
    <row r="86" spans="1:8" x14ac:dyDescent="0.3">
      <c r="A86" s="55" t="str">
        <f>IF(75&gt;$E$4,"",$B$4+75-1)</f>
        <v/>
      </c>
      <c r="B86" s="57" t="str">
        <f t="shared" si="10"/>
        <v/>
      </c>
      <c r="C86" s="56" t="str">
        <f>IF($A86="","",SUMIFS('Income Schedule'!$C:$C,'Income Schedule'!$A:$A,$A86))</f>
        <v/>
      </c>
      <c r="D86" s="56" t="str">
        <f>IF($A86="","",SUMIFS('Upcoming Bills'!$C:$C,'Upcoming Bills'!$B:$B,$A86))</f>
        <v/>
      </c>
      <c r="E86" s="56" t="str">
        <f t="shared" si="11"/>
        <v/>
      </c>
      <c r="F86" s="56" t="str">
        <f t="shared" si="14"/>
        <v/>
      </c>
      <c r="G86" s="57" t="str">
        <f t="shared" si="12"/>
        <v/>
      </c>
      <c r="H86" s="4" t="e">
        <f t="shared" si="13"/>
        <v>#N/A</v>
      </c>
    </row>
    <row r="87" spans="1:8" x14ac:dyDescent="0.3">
      <c r="A87" s="59" t="str">
        <f>IF(76&gt;$E$4,"",$B$4+76-1)</f>
        <v/>
      </c>
      <c r="B87" s="61" t="str">
        <f t="shared" si="10"/>
        <v/>
      </c>
      <c r="C87" s="60" t="str">
        <f>IF($A87="","",SUMIFS('Income Schedule'!$C:$C,'Income Schedule'!$A:$A,$A87))</f>
        <v/>
      </c>
      <c r="D87" s="60" t="str">
        <f>IF($A87="","",SUMIFS('Upcoming Bills'!$C:$C,'Upcoming Bills'!$B:$B,$A87))</f>
        <v/>
      </c>
      <c r="E87" s="60" t="str">
        <f t="shared" si="11"/>
        <v/>
      </c>
      <c r="F87" s="60" t="str">
        <f t="shared" si="14"/>
        <v/>
      </c>
      <c r="G87" s="61" t="str">
        <f t="shared" si="12"/>
        <v/>
      </c>
      <c r="H87" s="4" t="e">
        <f t="shared" si="13"/>
        <v>#N/A</v>
      </c>
    </row>
    <row r="88" spans="1:8" x14ac:dyDescent="0.3">
      <c r="A88" s="55" t="str">
        <f>IF(77&gt;$E$4,"",$B$4+77-1)</f>
        <v/>
      </c>
      <c r="B88" s="57" t="str">
        <f t="shared" si="10"/>
        <v/>
      </c>
      <c r="C88" s="56" t="str">
        <f>IF($A88="","",SUMIFS('Income Schedule'!$C:$C,'Income Schedule'!$A:$A,$A88))</f>
        <v/>
      </c>
      <c r="D88" s="56" t="str">
        <f>IF($A88="","",SUMIFS('Upcoming Bills'!$C:$C,'Upcoming Bills'!$B:$B,$A88))</f>
        <v/>
      </c>
      <c r="E88" s="56" t="str">
        <f t="shared" si="11"/>
        <v/>
      </c>
      <c r="F88" s="56" t="str">
        <f t="shared" si="14"/>
        <v/>
      </c>
      <c r="G88" s="57" t="str">
        <f t="shared" si="12"/>
        <v/>
      </c>
      <c r="H88" s="4" t="e">
        <f t="shared" si="13"/>
        <v>#N/A</v>
      </c>
    </row>
    <row r="89" spans="1:8" x14ac:dyDescent="0.3">
      <c r="A89" s="59" t="str">
        <f>IF(78&gt;$E$4,"",$B$4+78-1)</f>
        <v/>
      </c>
      <c r="B89" s="61" t="str">
        <f t="shared" si="10"/>
        <v/>
      </c>
      <c r="C89" s="60" t="str">
        <f>IF($A89="","",SUMIFS('Income Schedule'!$C:$C,'Income Schedule'!$A:$A,$A89))</f>
        <v/>
      </c>
      <c r="D89" s="60" t="str">
        <f>IF($A89="","",SUMIFS('Upcoming Bills'!$C:$C,'Upcoming Bills'!$B:$B,$A89))</f>
        <v/>
      </c>
      <c r="E89" s="60" t="str">
        <f t="shared" si="11"/>
        <v/>
      </c>
      <c r="F89" s="60" t="str">
        <f t="shared" si="14"/>
        <v/>
      </c>
      <c r="G89" s="61" t="str">
        <f t="shared" si="12"/>
        <v/>
      </c>
      <c r="H89" s="4" t="e">
        <f t="shared" si="13"/>
        <v>#N/A</v>
      </c>
    </row>
    <row r="90" spans="1:8" x14ac:dyDescent="0.3">
      <c r="A90" s="55" t="str">
        <f>IF(79&gt;$E$4,"",$B$4+79-1)</f>
        <v/>
      </c>
      <c r="B90" s="57" t="str">
        <f t="shared" si="10"/>
        <v/>
      </c>
      <c r="C90" s="56" t="str">
        <f>IF($A90="","",SUMIFS('Income Schedule'!$C:$C,'Income Schedule'!$A:$A,$A90))</f>
        <v/>
      </c>
      <c r="D90" s="56" t="str">
        <f>IF($A90="","",SUMIFS('Upcoming Bills'!$C:$C,'Upcoming Bills'!$B:$B,$A90))</f>
        <v/>
      </c>
      <c r="E90" s="56" t="str">
        <f t="shared" si="11"/>
        <v/>
      </c>
      <c r="F90" s="56" t="str">
        <f t="shared" si="14"/>
        <v/>
      </c>
      <c r="G90" s="57" t="str">
        <f t="shared" si="12"/>
        <v/>
      </c>
      <c r="H90" s="4" t="e">
        <f t="shared" si="13"/>
        <v>#N/A</v>
      </c>
    </row>
    <row r="91" spans="1:8" x14ac:dyDescent="0.3">
      <c r="A91" s="59" t="str">
        <f>IF(80&gt;$E$4,"",$B$4+80-1)</f>
        <v/>
      </c>
      <c r="B91" s="61" t="str">
        <f t="shared" si="10"/>
        <v/>
      </c>
      <c r="C91" s="60" t="str">
        <f>IF($A91="","",SUMIFS('Income Schedule'!$C:$C,'Income Schedule'!$A:$A,$A91))</f>
        <v/>
      </c>
      <c r="D91" s="60" t="str">
        <f>IF($A91="","",SUMIFS('Upcoming Bills'!$C:$C,'Upcoming Bills'!$B:$B,$A91))</f>
        <v/>
      </c>
      <c r="E91" s="60" t="str">
        <f t="shared" si="11"/>
        <v/>
      </c>
      <c r="F91" s="60" t="str">
        <f t="shared" si="14"/>
        <v/>
      </c>
      <c r="G91" s="61" t="str">
        <f t="shared" si="12"/>
        <v/>
      </c>
      <c r="H91" s="4" t="e">
        <f t="shared" si="13"/>
        <v>#N/A</v>
      </c>
    </row>
    <row r="92" spans="1:8" x14ac:dyDescent="0.3">
      <c r="A92" s="55" t="str">
        <f>IF(81&gt;$E$4,"",$B$4+81-1)</f>
        <v/>
      </c>
      <c r="B92" s="57" t="str">
        <f t="shared" si="10"/>
        <v/>
      </c>
      <c r="C92" s="56" t="str">
        <f>IF($A92="","",SUMIFS('Income Schedule'!$C:$C,'Income Schedule'!$A:$A,$A92))</f>
        <v/>
      </c>
      <c r="D92" s="56" t="str">
        <f>IF($A92="","",SUMIFS('Upcoming Bills'!$C:$C,'Upcoming Bills'!$B:$B,$A92))</f>
        <v/>
      </c>
      <c r="E92" s="56" t="str">
        <f t="shared" si="11"/>
        <v/>
      </c>
      <c r="F92" s="56" t="str">
        <f t="shared" si="14"/>
        <v/>
      </c>
      <c r="G92" s="57" t="str">
        <f t="shared" si="12"/>
        <v/>
      </c>
      <c r="H92" s="4" t="e">
        <f t="shared" si="13"/>
        <v>#N/A</v>
      </c>
    </row>
    <row r="93" spans="1:8" x14ac:dyDescent="0.3">
      <c r="A93" s="59" t="str">
        <f>IF(82&gt;$E$4,"",$B$4+82-1)</f>
        <v/>
      </c>
      <c r="B93" s="61" t="str">
        <f t="shared" si="10"/>
        <v/>
      </c>
      <c r="C93" s="60" t="str">
        <f>IF($A93="","",SUMIFS('Income Schedule'!$C:$C,'Income Schedule'!$A:$A,$A93))</f>
        <v/>
      </c>
      <c r="D93" s="60" t="str">
        <f>IF($A93="","",SUMIFS('Upcoming Bills'!$C:$C,'Upcoming Bills'!$B:$B,$A93))</f>
        <v/>
      </c>
      <c r="E93" s="60" t="str">
        <f t="shared" si="11"/>
        <v/>
      </c>
      <c r="F93" s="60" t="str">
        <f t="shared" si="14"/>
        <v/>
      </c>
      <c r="G93" s="61" t="str">
        <f t="shared" si="12"/>
        <v/>
      </c>
      <c r="H93" s="4" t="e">
        <f t="shared" si="13"/>
        <v>#N/A</v>
      </c>
    </row>
    <row r="94" spans="1:8" x14ac:dyDescent="0.3">
      <c r="A94" s="55" t="str">
        <f>IF(83&gt;$E$4,"",$B$4+83-1)</f>
        <v/>
      </c>
      <c r="B94" s="57" t="str">
        <f t="shared" si="10"/>
        <v/>
      </c>
      <c r="C94" s="56" t="str">
        <f>IF($A94="","",SUMIFS('Income Schedule'!$C:$C,'Income Schedule'!$A:$A,$A94))</f>
        <v/>
      </c>
      <c r="D94" s="56" t="str">
        <f>IF($A94="","",SUMIFS('Upcoming Bills'!$C:$C,'Upcoming Bills'!$B:$B,$A94))</f>
        <v/>
      </c>
      <c r="E94" s="56" t="str">
        <f t="shared" si="11"/>
        <v/>
      </c>
      <c r="F94" s="56" t="str">
        <f t="shared" si="14"/>
        <v/>
      </c>
      <c r="G94" s="57" t="str">
        <f t="shared" si="12"/>
        <v/>
      </c>
      <c r="H94" s="4" t="e">
        <f t="shared" si="13"/>
        <v>#N/A</v>
      </c>
    </row>
    <row r="95" spans="1:8" x14ac:dyDescent="0.3">
      <c r="A95" s="59" t="str">
        <f>IF(84&gt;$E$4,"",$B$4+84-1)</f>
        <v/>
      </c>
      <c r="B95" s="61" t="str">
        <f t="shared" si="10"/>
        <v/>
      </c>
      <c r="C95" s="60" t="str">
        <f>IF($A95="","",SUMIFS('Income Schedule'!$C:$C,'Income Schedule'!$A:$A,$A95))</f>
        <v/>
      </c>
      <c r="D95" s="60" t="str">
        <f>IF($A95="","",SUMIFS('Upcoming Bills'!$C:$C,'Upcoming Bills'!$B:$B,$A95))</f>
        <v/>
      </c>
      <c r="E95" s="60" t="str">
        <f t="shared" si="11"/>
        <v/>
      </c>
      <c r="F95" s="60" t="str">
        <f t="shared" si="14"/>
        <v/>
      </c>
      <c r="G95" s="61" t="str">
        <f t="shared" si="12"/>
        <v/>
      </c>
      <c r="H95" s="4" t="e">
        <f t="shared" si="13"/>
        <v>#N/A</v>
      </c>
    </row>
    <row r="96" spans="1:8" x14ac:dyDescent="0.3">
      <c r="A96" s="55" t="str">
        <f>IF(85&gt;$E$4,"",$B$4+85-1)</f>
        <v/>
      </c>
      <c r="B96" s="57" t="str">
        <f t="shared" si="10"/>
        <v/>
      </c>
      <c r="C96" s="56" t="str">
        <f>IF($A96="","",SUMIFS('Income Schedule'!$C:$C,'Income Schedule'!$A:$A,$A96))</f>
        <v/>
      </c>
      <c r="D96" s="56" t="str">
        <f>IF($A96="","",SUMIFS('Upcoming Bills'!$C:$C,'Upcoming Bills'!$B:$B,$A96))</f>
        <v/>
      </c>
      <c r="E96" s="56" t="str">
        <f t="shared" si="11"/>
        <v/>
      </c>
      <c r="F96" s="56" t="str">
        <f t="shared" si="14"/>
        <v/>
      </c>
      <c r="G96" s="57" t="str">
        <f t="shared" si="12"/>
        <v/>
      </c>
      <c r="H96" s="4" t="e">
        <f t="shared" si="13"/>
        <v>#N/A</v>
      </c>
    </row>
    <row r="97" spans="1:8" x14ac:dyDescent="0.3">
      <c r="A97" s="59" t="str">
        <f>IF(86&gt;$E$4,"",$B$4+86-1)</f>
        <v/>
      </c>
      <c r="B97" s="61" t="str">
        <f t="shared" si="10"/>
        <v/>
      </c>
      <c r="C97" s="60" t="str">
        <f>IF($A97="","",SUMIFS('Income Schedule'!$C:$C,'Income Schedule'!$A:$A,$A97))</f>
        <v/>
      </c>
      <c r="D97" s="60" t="str">
        <f>IF($A97="","",SUMIFS('Upcoming Bills'!$C:$C,'Upcoming Bills'!$B:$B,$A97))</f>
        <v/>
      </c>
      <c r="E97" s="60" t="str">
        <f t="shared" si="11"/>
        <v/>
      </c>
      <c r="F97" s="60" t="str">
        <f t="shared" si="14"/>
        <v/>
      </c>
      <c r="G97" s="61" t="str">
        <f t="shared" si="12"/>
        <v/>
      </c>
      <c r="H97" s="4" t="e">
        <f t="shared" si="13"/>
        <v>#N/A</v>
      </c>
    </row>
    <row r="98" spans="1:8" x14ac:dyDescent="0.3">
      <c r="A98" s="55" t="str">
        <f>IF(87&gt;$E$4,"",$B$4+87-1)</f>
        <v/>
      </c>
      <c r="B98" s="57" t="str">
        <f t="shared" si="10"/>
        <v/>
      </c>
      <c r="C98" s="56" t="str">
        <f>IF($A98="","",SUMIFS('Income Schedule'!$C:$C,'Income Schedule'!$A:$A,$A98))</f>
        <v/>
      </c>
      <c r="D98" s="56" t="str">
        <f>IF($A98="","",SUMIFS('Upcoming Bills'!$C:$C,'Upcoming Bills'!$B:$B,$A98))</f>
        <v/>
      </c>
      <c r="E98" s="56" t="str">
        <f t="shared" si="11"/>
        <v/>
      </c>
      <c r="F98" s="56" t="str">
        <f t="shared" si="14"/>
        <v/>
      </c>
      <c r="G98" s="57" t="str">
        <f t="shared" si="12"/>
        <v/>
      </c>
      <c r="H98" s="4" t="e">
        <f t="shared" si="13"/>
        <v>#N/A</v>
      </c>
    </row>
    <row r="99" spans="1:8" x14ac:dyDescent="0.3">
      <c r="A99" s="59" t="str">
        <f>IF(88&gt;$E$4,"",$B$4+88-1)</f>
        <v/>
      </c>
      <c r="B99" s="61" t="str">
        <f t="shared" si="10"/>
        <v/>
      </c>
      <c r="C99" s="60" t="str">
        <f>IF($A99="","",SUMIFS('Income Schedule'!$C:$C,'Income Schedule'!$A:$A,$A99))</f>
        <v/>
      </c>
      <c r="D99" s="60" t="str">
        <f>IF($A99="","",SUMIFS('Upcoming Bills'!$C:$C,'Upcoming Bills'!$B:$B,$A99))</f>
        <v/>
      </c>
      <c r="E99" s="60" t="str">
        <f t="shared" si="11"/>
        <v/>
      </c>
      <c r="F99" s="60" t="str">
        <f t="shared" si="14"/>
        <v/>
      </c>
      <c r="G99" s="61" t="str">
        <f t="shared" si="12"/>
        <v/>
      </c>
      <c r="H99" s="4" t="e">
        <f t="shared" si="13"/>
        <v>#N/A</v>
      </c>
    </row>
    <row r="100" spans="1:8" x14ac:dyDescent="0.3">
      <c r="A100" s="55" t="str">
        <f>IF(89&gt;$E$4,"",$B$4+89-1)</f>
        <v/>
      </c>
      <c r="B100" s="57" t="str">
        <f t="shared" si="10"/>
        <v/>
      </c>
      <c r="C100" s="56" t="str">
        <f>IF($A100="","",SUMIFS('Income Schedule'!$C:$C,'Income Schedule'!$A:$A,$A100))</f>
        <v/>
      </c>
      <c r="D100" s="56" t="str">
        <f>IF($A100="","",SUMIFS('Upcoming Bills'!$C:$C,'Upcoming Bills'!$B:$B,$A100))</f>
        <v/>
      </c>
      <c r="E100" s="56" t="str">
        <f t="shared" si="11"/>
        <v/>
      </c>
      <c r="F100" s="56" t="str">
        <f t="shared" si="14"/>
        <v/>
      </c>
      <c r="G100" s="57" t="str">
        <f t="shared" si="12"/>
        <v/>
      </c>
      <c r="H100" s="4" t="e">
        <f t="shared" si="13"/>
        <v>#N/A</v>
      </c>
    </row>
    <row r="101" spans="1:8" x14ac:dyDescent="0.3">
      <c r="A101" s="59" t="str">
        <f>IF(90&gt;$E$4,"",$B$4+90-1)</f>
        <v/>
      </c>
      <c r="B101" s="61" t="str">
        <f t="shared" si="10"/>
        <v/>
      </c>
      <c r="C101" s="60" t="str">
        <f>IF($A101="","",SUMIFS('Income Schedule'!$C:$C,'Income Schedule'!$A:$A,$A101))</f>
        <v/>
      </c>
      <c r="D101" s="60" t="str">
        <f>IF($A101="","",SUMIFS('Upcoming Bills'!$C:$C,'Upcoming Bills'!$B:$B,$A101))</f>
        <v/>
      </c>
      <c r="E101" s="60" t="str">
        <f t="shared" si="11"/>
        <v/>
      </c>
      <c r="F101" s="60" t="str">
        <f t="shared" si="14"/>
        <v/>
      </c>
      <c r="G101" s="61" t="str">
        <f t="shared" si="12"/>
        <v/>
      </c>
      <c r="H101" s="4" t="e">
        <f t="shared" si="13"/>
        <v>#N/A</v>
      </c>
    </row>
    <row r="102" spans="1:8" x14ac:dyDescent="0.3">
      <c r="A102" s="55" t="str">
        <f>IF(91&gt;$E$4,"",$B$4+91-1)</f>
        <v/>
      </c>
      <c r="B102" s="57" t="str">
        <f t="shared" si="10"/>
        <v/>
      </c>
      <c r="C102" s="56" t="str">
        <f>IF($A102="","",SUMIFS('Income Schedule'!$C:$C,'Income Schedule'!$A:$A,$A102))</f>
        <v/>
      </c>
      <c r="D102" s="56" t="str">
        <f>IF($A102="","",SUMIFS('Upcoming Bills'!$C:$C,'Upcoming Bills'!$B:$B,$A102))</f>
        <v/>
      </c>
      <c r="E102" s="56" t="str">
        <f t="shared" si="11"/>
        <v/>
      </c>
      <c r="F102" s="56" t="str">
        <f t="shared" si="14"/>
        <v/>
      </c>
      <c r="G102" s="57" t="str">
        <f t="shared" si="12"/>
        <v/>
      </c>
      <c r="H102" s="4" t="e">
        <f t="shared" si="13"/>
        <v>#N/A</v>
      </c>
    </row>
    <row r="103" spans="1:8" x14ac:dyDescent="0.3">
      <c r="A103" s="59" t="str">
        <f>IF(92&gt;$E$4,"",$B$4+92-1)</f>
        <v/>
      </c>
      <c r="B103" s="61" t="str">
        <f t="shared" si="10"/>
        <v/>
      </c>
      <c r="C103" s="60" t="str">
        <f>IF($A103="","",SUMIFS('Income Schedule'!$C:$C,'Income Schedule'!$A:$A,$A103))</f>
        <v/>
      </c>
      <c r="D103" s="60" t="str">
        <f>IF($A103="","",SUMIFS('Upcoming Bills'!$C:$C,'Upcoming Bills'!$B:$B,$A103))</f>
        <v/>
      </c>
      <c r="E103" s="60" t="str">
        <f t="shared" si="11"/>
        <v/>
      </c>
      <c r="F103" s="60" t="str">
        <f t="shared" si="14"/>
        <v/>
      </c>
      <c r="G103" s="61" t="str">
        <f t="shared" si="12"/>
        <v/>
      </c>
      <c r="H103" s="4" t="e">
        <f t="shared" si="13"/>
        <v>#N/A</v>
      </c>
    </row>
    <row r="104" spans="1:8" x14ac:dyDescent="0.3">
      <c r="A104" s="55" t="str">
        <f>IF(93&gt;$E$4,"",$B$4+93-1)</f>
        <v/>
      </c>
      <c r="B104" s="57" t="str">
        <f t="shared" si="10"/>
        <v/>
      </c>
      <c r="C104" s="56" t="str">
        <f>IF($A104="","",SUMIFS('Income Schedule'!$C:$C,'Income Schedule'!$A:$A,$A104))</f>
        <v/>
      </c>
      <c r="D104" s="56" t="str">
        <f>IF($A104="","",SUMIFS('Upcoming Bills'!$C:$C,'Upcoming Bills'!$B:$B,$A104))</f>
        <v/>
      </c>
      <c r="E104" s="56" t="str">
        <f t="shared" si="11"/>
        <v/>
      </c>
      <c r="F104" s="56" t="str">
        <f t="shared" si="14"/>
        <v/>
      </c>
      <c r="G104" s="57" t="str">
        <f t="shared" si="12"/>
        <v/>
      </c>
      <c r="H104" s="4" t="e">
        <f t="shared" si="13"/>
        <v>#N/A</v>
      </c>
    </row>
    <row r="105" spans="1:8" x14ac:dyDescent="0.3">
      <c r="A105" s="59" t="str">
        <f>IF(94&gt;$E$4,"",$B$4+94-1)</f>
        <v/>
      </c>
      <c r="B105" s="61" t="str">
        <f t="shared" si="10"/>
        <v/>
      </c>
      <c r="C105" s="60" t="str">
        <f>IF($A105="","",SUMIFS('Income Schedule'!$C:$C,'Income Schedule'!$A:$A,$A105))</f>
        <v/>
      </c>
      <c r="D105" s="60" t="str">
        <f>IF($A105="","",SUMIFS('Upcoming Bills'!$C:$C,'Upcoming Bills'!$B:$B,$A105))</f>
        <v/>
      </c>
      <c r="E105" s="60" t="str">
        <f t="shared" si="11"/>
        <v/>
      </c>
      <c r="F105" s="60" t="str">
        <f t="shared" si="14"/>
        <v/>
      </c>
      <c r="G105" s="61" t="str">
        <f t="shared" si="12"/>
        <v/>
      </c>
      <c r="H105" s="4" t="e">
        <f t="shared" si="13"/>
        <v>#N/A</v>
      </c>
    </row>
    <row r="106" spans="1:8" x14ac:dyDescent="0.3">
      <c r="A106" s="55" t="str">
        <f>IF(95&gt;$E$4,"",$B$4+95-1)</f>
        <v/>
      </c>
      <c r="B106" s="57" t="str">
        <f t="shared" si="10"/>
        <v/>
      </c>
      <c r="C106" s="56" t="str">
        <f>IF($A106="","",SUMIFS('Income Schedule'!$C:$C,'Income Schedule'!$A:$A,$A106))</f>
        <v/>
      </c>
      <c r="D106" s="56" t="str">
        <f>IF($A106="","",SUMIFS('Upcoming Bills'!$C:$C,'Upcoming Bills'!$B:$B,$A106))</f>
        <v/>
      </c>
      <c r="E106" s="56" t="str">
        <f t="shared" si="11"/>
        <v/>
      </c>
      <c r="F106" s="56" t="str">
        <f t="shared" si="14"/>
        <v/>
      </c>
      <c r="G106" s="57" t="str">
        <f t="shared" si="12"/>
        <v/>
      </c>
      <c r="H106" s="4" t="e">
        <f t="shared" si="13"/>
        <v>#N/A</v>
      </c>
    </row>
    <row r="107" spans="1:8" x14ac:dyDescent="0.3">
      <c r="A107" s="59" t="str">
        <f>IF(96&gt;$E$4,"",$B$4+96-1)</f>
        <v/>
      </c>
      <c r="B107" s="61" t="str">
        <f t="shared" si="10"/>
        <v/>
      </c>
      <c r="C107" s="60" t="str">
        <f>IF($A107="","",SUMIFS('Income Schedule'!$C:$C,'Income Schedule'!$A:$A,$A107))</f>
        <v/>
      </c>
      <c r="D107" s="60" t="str">
        <f>IF($A107="","",SUMIFS('Upcoming Bills'!$C:$C,'Upcoming Bills'!$B:$B,$A107))</f>
        <v/>
      </c>
      <c r="E107" s="60" t="str">
        <f t="shared" si="11"/>
        <v/>
      </c>
      <c r="F107" s="60" t="str">
        <f t="shared" si="14"/>
        <v/>
      </c>
      <c r="G107" s="61" t="str">
        <f t="shared" si="12"/>
        <v/>
      </c>
      <c r="H107" s="4" t="e">
        <f t="shared" si="13"/>
        <v>#N/A</v>
      </c>
    </row>
    <row r="108" spans="1:8" x14ac:dyDescent="0.3">
      <c r="A108" s="55" t="str">
        <f>IF(97&gt;$E$4,"",$B$4+97-1)</f>
        <v/>
      </c>
      <c r="B108" s="57" t="str">
        <f t="shared" ref="B108:B131" si="15">IF($A108="","",TEXT($A108,"ddd"))</f>
        <v/>
      </c>
      <c r="C108" s="56" t="str">
        <f>IF($A108="","",SUMIFS('Income Schedule'!$C:$C,'Income Schedule'!$A:$A,$A108))</f>
        <v/>
      </c>
      <c r="D108" s="56" t="str">
        <f>IF($A108="","",SUMIFS('Upcoming Bills'!$C:$C,'Upcoming Bills'!$B:$B,$A108))</f>
        <v/>
      </c>
      <c r="E108" s="56" t="str">
        <f t="shared" ref="E108:E131" si="16">IF($A108="","",C108-D108)</f>
        <v/>
      </c>
      <c r="F108" s="56" t="str">
        <f t="shared" si="14"/>
        <v/>
      </c>
      <c r="G108" s="57" t="str">
        <f t="shared" ref="G108:G131" si="17">IF($A108="","",IF(C108&gt;0,"Income","")&amp;IF(AND(C108&gt;0,D108&gt;0)," • ","")&amp;IF(D108&gt;0,"Bills",""))</f>
        <v/>
      </c>
      <c r="H108" s="4" t="e">
        <f t="shared" ref="H108:H131" si="18">IF($A108="",NA(),$F108)</f>
        <v>#N/A</v>
      </c>
    </row>
    <row r="109" spans="1:8" x14ac:dyDescent="0.3">
      <c r="A109" s="59" t="str">
        <f>IF(98&gt;$E$4,"",$B$4+98-1)</f>
        <v/>
      </c>
      <c r="B109" s="61" t="str">
        <f t="shared" si="15"/>
        <v/>
      </c>
      <c r="C109" s="60" t="str">
        <f>IF($A109="","",SUMIFS('Income Schedule'!$C:$C,'Income Schedule'!$A:$A,$A109))</f>
        <v/>
      </c>
      <c r="D109" s="60" t="str">
        <f>IF($A109="","",SUMIFS('Upcoming Bills'!$C:$C,'Upcoming Bills'!$B:$B,$A109))</f>
        <v/>
      </c>
      <c r="E109" s="60" t="str">
        <f t="shared" si="16"/>
        <v/>
      </c>
      <c r="F109" s="60" t="str">
        <f t="shared" ref="F109:F131" si="19">IF($A109="","",F108+E109)</f>
        <v/>
      </c>
      <c r="G109" s="61" t="str">
        <f t="shared" si="17"/>
        <v/>
      </c>
      <c r="H109" s="4" t="e">
        <f t="shared" si="18"/>
        <v>#N/A</v>
      </c>
    </row>
    <row r="110" spans="1:8" x14ac:dyDescent="0.3">
      <c r="A110" s="55" t="str">
        <f>IF(99&gt;$E$4,"",$B$4+99-1)</f>
        <v/>
      </c>
      <c r="B110" s="57" t="str">
        <f t="shared" si="15"/>
        <v/>
      </c>
      <c r="C110" s="56" t="str">
        <f>IF($A110="","",SUMIFS('Income Schedule'!$C:$C,'Income Schedule'!$A:$A,$A110))</f>
        <v/>
      </c>
      <c r="D110" s="56" t="str">
        <f>IF($A110="","",SUMIFS('Upcoming Bills'!$C:$C,'Upcoming Bills'!$B:$B,$A110))</f>
        <v/>
      </c>
      <c r="E110" s="56" t="str">
        <f t="shared" si="16"/>
        <v/>
      </c>
      <c r="F110" s="56" t="str">
        <f t="shared" si="19"/>
        <v/>
      </c>
      <c r="G110" s="57" t="str">
        <f t="shared" si="17"/>
        <v/>
      </c>
      <c r="H110" s="4" t="e">
        <f t="shared" si="18"/>
        <v>#N/A</v>
      </c>
    </row>
    <row r="111" spans="1:8" x14ac:dyDescent="0.3">
      <c r="A111" s="59" t="str">
        <f>IF(100&gt;$E$4,"",$B$4+100-1)</f>
        <v/>
      </c>
      <c r="B111" s="61" t="str">
        <f t="shared" si="15"/>
        <v/>
      </c>
      <c r="C111" s="60" t="str">
        <f>IF($A111="","",SUMIFS('Income Schedule'!$C:$C,'Income Schedule'!$A:$A,$A111))</f>
        <v/>
      </c>
      <c r="D111" s="60" t="str">
        <f>IF($A111="","",SUMIFS('Upcoming Bills'!$C:$C,'Upcoming Bills'!$B:$B,$A111))</f>
        <v/>
      </c>
      <c r="E111" s="60" t="str">
        <f t="shared" si="16"/>
        <v/>
      </c>
      <c r="F111" s="60" t="str">
        <f t="shared" si="19"/>
        <v/>
      </c>
      <c r="G111" s="61" t="str">
        <f t="shared" si="17"/>
        <v/>
      </c>
      <c r="H111" s="4" t="e">
        <f t="shared" si="18"/>
        <v>#N/A</v>
      </c>
    </row>
    <row r="112" spans="1:8" x14ac:dyDescent="0.3">
      <c r="A112" s="55" t="str">
        <f>IF(101&gt;$E$4,"",$B$4+101-1)</f>
        <v/>
      </c>
      <c r="B112" s="57" t="str">
        <f t="shared" si="15"/>
        <v/>
      </c>
      <c r="C112" s="56" t="str">
        <f>IF($A112="","",SUMIFS('Income Schedule'!$C:$C,'Income Schedule'!$A:$A,$A112))</f>
        <v/>
      </c>
      <c r="D112" s="56" t="str">
        <f>IF($A112="","",SUMIFS('Upcoming Bills'!$C:$C,'Upcoming Bills'!$B:$B,$A112))</f>
        <v/>
      </c>
      <c r="E112" s="56" t="str">
        <f t="shared" si="16"/>
        <v/>
      </c>
      <c r="F112" s="56" t="str">
        <f t="shared" si="19"/>
        <v/>
      </c>
      <c r="G112" s="57" t="str">
        <f t="shared" si="17"/>
        <v/>
      </c>
      <c r="H112" s="4" t="e">
        <f t="shared" si="18"/>
        <v>#N/A</v>
      </c>
    </row>
    <row r="113" spans="1:8" x14ac:dyDescent="0.3">
      <c r="A113" s="59" t="str">
        <f>IF(102&gt;$E$4,"",$B$4+102-1)</f>
        <v/>
      </c>
      <c r="B113" s="61" t="str">
        <f t="shared" si="15"/>
        <v/>
      </c>
      <c r="C113" s="60" t="str">
        <f>IF($A113="","",SUMIFS('Income Schedule'!$C:$C,'Income Schedule'!$A:$A,$A113))</f>
        <v/>
      </c>
      <c r="D113" s="60" t="str">
        <f>IF($A113="","",SUMIFS('Upcoming Bills'!$C:$C,'Upcoming Bills'!$B:$B,$A113))</f>
        <v/>
      </c>
      <c r="E113" s="60" t="str">
        <f t="shared" si="16"/>
        <v/>
      </c>
      <c r="F113" s="60" t="str">
        <f t="shared" si="19"/>
        <v/>
      </c>
      <c r="G113" s="61" t="str">
        <f t="shared" si="17"/>
        <v/>
      </c>
      <c r="H113" s="4" t="e">
        <f t="shared" si="18"/>
        <v>#N/A</v>
      </c>
    </row>
    <row r="114" spans="1:8" x14ac:dyDescent="0.3">
      <c r="A114" s="55" t="str">
        <f>IF(103&gt;$E$4,"",$B$4+103-1)</f>
        <v/>
      </c>
      <c r="B114" s="57" t="str">
        <f t="shared" si="15"/>
        <v/>
      </c>
      <c r="C114" s="56" t="str">
        <f>IF($A114="","",SUMIFS('Income Schedule'!$C:$C,'Income Schedule'!$A:$A,$A114))</f>
        <v/>
      </c>
      <c r="D114" s="56" t="str">
        <f>IF($A114="","",SUMIFS('Upcoming Bills'!$C:$C,'Upcoming Bills'!$B:$B,$A114))</f>
        <v/>
      </c>
      <c r="E114" s="56" t="str">
        <f t="shared" si="16"/>
        <v/>
      </c>
      <c r="F114" s="56" t="str">
        <f t="shared" si="19"/>
        <v/>
      </c>
      <c r="G114" s="57" t="str">
        <f t="shared" si="17"/>
        <v/>
      </c>
      <c r="H114" s="4" t="e">
        <f t="shared" si="18"/>
        <v>#N/A</v>
      </c>
    </row>
    <row r="115" spans="1:8" x14ac:dyDescent="0.3">
      <c r="A115" s="59" t="str">
        <f>IF(104&gt;$E$4,"",$B$4+104-1)</f>
        <v/>
      </c>
      <c r="B115" s="61" t="str">
        <f t="shared" si="15"/>
        <v/>
      </c>
      <c r="C115" s="60" t="str">
        <f>IF($A115="","",SUMIFS('Income Schedule'!$C:$C,'Income Schedule'!$A:$A,$A115))</f>
        <v/>
      </c>
      <c r="D115" s="60" t="str">
        <f>IF($A115="","",SUMIFS('Upcoming Bills'!$C:$C,'Upcoming Bills'!$B:$B,$A115))</f>
        <v/>
      </c>
      <c r="E115" s="60" t="str">
        <f t="shared" si="16"/>
        <v/>
      </c>
      <c r="F115" s="60" t="str">
        <f t="shared" si="19"/>
        <v/>
      </c>
      <c r="G115" s="61" t="str">
        <f t="shared" si="17"/>
        <v/>
      </c>
      <c r="H115" s="4" t="e">
        <f t="shared" si="18"/>
        <v>#N/A</v>
      </c>
    </row>
    <row r="116" spans="1:8" x14ac:dyDescent="0.3">
      <c r="A116" s="55" t="str">
        <f>IF(105&gt;$E$4,"",$B$4+105-1)</f>
        <v/>
      </c>
      <c r="B116" s="57" t="str">
        <f t="shared" si="15"/>
        <v/>
      </c>
      <c r="C116" s="56" t="str">
        <f>IF($A116="","",SUMIFS('Income Schedule'!$C:$C,'Income Schedule'!$A:$A,$A116))</f>
        <v/>
      </c>
      <c r="D116" s="56" t="str">
        <f>IF($A116="","",SUMIFS('Upcoming Bills'!$C:$C,'Upcoming Bills'!$B:$B,$A116))</f>
        <v/>
      </c>
      <c r="E116" s="56" t="str">
        <f t="shared" si="16"/>
        <v/>
      </c>
      <c r="F116" s="56" t="str">
        <f t="shared" si="19"/>
        <v/>
      </c>
      <c r="G116" s="57" t="str">
        <f t="shared" si="17"/>
        <v/>
      </c>
      <c r="H116" s="4" t="e">
        <f t="shared" si="18"/>
        <v>#N/A</v>
      </c>
    </row>
    <row r="117" spans="1:8" x14ac:dyDescent="0.3">
      <c r="A117" s="59" t="str">
        <f>IF(106&gt;$E$4,"",$B$4+106-1)</f>
        <v/>
      </c>
      <c r="B117" s="61" t="str">
        <f t="shared" si="15"/>
        <v/>
      </c>
      <c r="C117" s="60" t="str">
        <f>IF($A117="","",SUMIFS('Income Schedule'!$C:$C,'Income Schedule'!$A:$A,$A117))</f>
        <v/>
      </c>
      <c r="D117" s="60" t="str">
        <f>IF($A117="","",SUMIFS('Upcoming Bills'!$C:$C,'Upcoming Bills'!$B:$B,$A117))</f>
        <v/>
      </c>
      <c r="E117" s="60" t="str">
        <f t="shared" si="16"/>
        <v/>
      </c>
      <c r="F117" s="60" t="str">
        <f t="shared" si="19"/>
        <v/>
      </c>
      <c r="G117" s="61" t="str">
        <f t="shared" si="17"/>
        <v/>
      </c>
      <c r="H117" s="4" t="e">
        <f t="shared" si="18"/>
        <v>#N/A</v>
      </c>
    </row>
    <row r="118" spans="1:8" x14ac:dyDescent="0.3">
      <c r="A118" s="55" t="str">
        <f>IF(107&gt;$E$4,"",$B$4+107-1)</f>
        <v/>
      </c>
      <c r="B118" s="57" t="str">
        <f t="shared" si="15"/>
        <v/>
      </c>
      <c r="C118" s="56" t="str">
        <f>IF($A118="","",SUMIFS('Income Schedule'!$C:$C,'Income Schedule'!$A:$A,$A118))</f>
        <v/>
      </c>
      <c r="D118" s="56" t="str">
        <f>IF($A118="","",SUMIFS('Upcoming Bills'!$C:$C,'Upcoming Bills'!$B:$B,$A118))</f>
        <v/>
      </c>
      <c r="E118" s="56" t="str">
        <f t="shared" si="16"/>
        <v/>
      </c>
      <c r="F118" s="56" t="str">
        <f t="shared" si="19"/>
        <v/>
      </c>
      <c r="G118" s="57" t="str">
        <f t="shared" si="17"/>
        <v/>
      </c>
      <c r="H118" s="4" t="e">
        <f t="shared" si="18"/>
        <v>#N/A</v>
      </c>
    </row>
    <row r="119" spans="1:8" x14ac:dyDescent="0.3">
      <c r="A119" s="59" t="str">
        <f>IF(108&gt;$E$4,"",$B$4+108-1)</f>
        <v/>
      </c>
      <c r="B119" s="61" t="str">
        <f t="shared" si="15"/>
        <v/>
      </c>
      <c r="C119" s="60" t="str">
        <f>IF($A119="","",SUMIFS('Income Schedule'!$C:$C,'Income Schedule'!$A:$A,$A119))</f>
        <v/>
      </c>
      <c r="D119" s="60" t="str">
        <f>IF($A119="","",SUMIFS('Upcoming Bills'!$C:$C,'Upcoming Bills'!$B:$B,$A119))</f>
        <v/>
      </c>
      <c r="E119" s="60" t="str">
        <f t="shared" si="16"/>
        <v/>
      </c>
      <c r="F119" s="60" t="str">
        <f t="shared" si="19"/>
        <v/>
      </c>
      <c r="G119" s="61" t="str">
        <f t="shared" si="17"/>
        <v/>
      </c>
      <c r="H119" s="4" t="e">
        <f t="shared" si="18"/>
        <v>#N/A</v>
      </c>
    </row>
    <row r="120" spans="1:8" x14ac:dyDescent="0.3">
      <c r="A120" s="55" t="str">
        <f>IF(109&gt;$E$4,"",$B$4+109-1)</f>
        <v/>
      </c>
      <c r="B120" s="57" t="str">
        <f t="shared" si="15"/>
        <v/>
      </c>
      <c r="C120" s="56" t="str">
        <f>IF($A120="","",SUMIFS('Income Schedule'!$C:$C,'Income Schedule'!$A:$A,$A120))</f>
        <v/>
      </c>
      <c r="D120" s="56" t="str">
        <f>IF($A120="","",SUMIFS('Upcoming Bills'!$C:$C,'Upcoming Bills'!$B:$B,$A120))</f>
        <v/>
      </c>
      <c r="E120" s="56" t="str">
        <f t="shared" si="16"/>
        <v/>
      </c>
      <c r="F120" s="56" t="str">
        <f t="shared" si="19"/>
        <v/>
      </c>
      <c r="G120" s="57" t="str">
        <f t="shared" si="17"/>
        <v/>
      </c>
      <c r="H120" s="4" t="e">
        <f t="shared" si="18"/>
        <v>#N/A</v>
      </c>
    </row>
    <row r="121" spans="1:8" x14ac:dyDescent="0.3">
      <c r="A121" s="59" t="str">
        <f>IF(110&gt;$E$4,"",$B$4+110-1)</f>
        <v/>
      </c>
      <c r="B121" s="61" t="str">
        <f t="shared" si="15"/>
        <v/>
      </c>
      <c r="C121" s="60" t="str">
        <f>IF($A121="","",SUMIFS('Income Schedule'!$C:$C,'Income Schedule'!$A:$A,$A121))</f>
        <v/>
      </c>
      <c r="D121" s="60" t="str">
        <f>IF($A121="","",SUMIFS('Upcoming Bills'!$C:$C,'Upcoming Bills'!$B:$B,$A121))</f>
        <v/>
      </c>
      <c r="E121" s="60" t="str">
        <f t="shared" si="16"/>
        <v/>
      </c>
      <c r="F121" s="60" t="str">
        <f t="shared" si="19"/>
        <v/>
      </c>
      <c r="G121" s="61" t="str">
        <f t="shared" si="17"/>
        <v/>
      </c>
      <c r="H121" s="4" t="e">
        <f t="shared" si="18"/>
        <v>#N/A</v>
      </c>
    </row>
    <row r="122" spans="1:8" x14ac:dyDescent="0.3">
      <c r="A122" s="55" t="str">
        <f>IF(111&gt;$E$4,"",$B$4+111-1)</f>
        <v/>
      </c>
      <c r="B122" s="57" t="str">
        <f t="shared" si="15"/>
        <v/>
      </c>
      <c r="C122" s="56" t="str">
        <f>IF($A122="","",SUMIFS('Income Schedule'!$C:$C,'Income Schedule'!$A:$A,$A122))</f>
        <v/>
      </c>
      <c r="D122" s="56" t="str">
        <f>IF($A122="","",SUMIFS('Upcoming Bills'!$C:$C,'Upcoming Bills'!$B:$B,$A122))</f>
        <v/>
      </c>
      <c r="E122" s="56" t="str">
        <f t="shared" si="16"/>
        <v/>
      </c>
      <c r="F122" s="56" t="str">
        <f t="shared" si="19"/>
        <v/>
      </c>
      <c r="G122" s="57" t="str">
        <f t="shared" si="17"/>
        <v/>
      </c>
      <c r="H122" s="4" t="e">
        <f t="shared" si="18"/>
        <v>#N/A</v>
      </c>
    </row>
    <row r="123" spans="1:8" x14ac:dyDescent="0.3">
      <c r="A123" s="59" t="str">
        <f>IF(112&gt;$E$4,"",$B$4+112-1)</f>
        <v/>
      </c>
      <c r="B123" s="61" t="str">
        <f t="shared" si="15"/>
        <v/>
      </c>
      <c r="C123" s="60" t="str">
        <f>IF($A123="","",SUMIFS('Income Schedule'!$C:$C,'Income Schedule'!$A:$A,$A123))</f>
        <v/>
      </c>
      <c r="D123" s="60" t="str">
        <f>IF($A123="","",SUMIFS('Upcoming Bills'!$C:$C,'Upcoming Bills'!$B:$B,$A123))</f>
        <v/>
      </c>
      <c r="E123" s="60" t="str">
        <f t="shared" si="16"/>
        <v/>
      </c>
      <c r="F123" s="60" t="str">
        <f t="shared" si="19"/>
        <v/>
      </c>
      <c r="G123" s="61" t="str">
        <f t="shared" si="17"/>
        <v/>
      </c>
      <c r="H123" s="4" t="e">
        <f t="shared" si="18"/>
        <v>#N/A</v>
      </c>
    </row>
    <row r="124" spans="1:8" x14ac:dyDescent="0.3">
      <c r="A124" s="55" t="str">
        <f>IF(113&gt;$E$4,"",$B$4+113-1)</f>
        <v/>
      </c>
      <c r="B124" s="57" t="str">
        <f t="shared" si="15"/>
        <v/>
      </c>
      <c r="C124" s="56" t="str">
        <f>IF($A124="","",SUMIFS('Income Schedule'!$C:$C,'Income Schedule'!$A:$A,$A124))</f>
        <v/>
      </c>
      <c r="D124" s="56" t="str">
        <f>IF($A124="","",SUMIFS('Upcoming Bills'!$C:$C,'Upcoming Bills'!$B:$B,$A124))</f>
        <v/>
      </c>
      <c r="E124" s="56" t="str">
        <f t="shared" si="16"/>
        <v/>
      </c>
      <c r="F124" s="56" t="str">
        <f t="shared" si="19"/>
        <v/>
      </c>
      <c r="G124" s="57" t="str">
        <f t="shared" si="17"/>
        <v/>
      </c>
      <c r="H124" s="4" t="e">
        <f t="shared" si="18"/>
        <v>#N/A</v>
      </c>
    </row>
    <row r="125" spans="1:8" x14ac:dyDescent="0.3">
      <c r="A125" s="59" t="str">
        <f>IF(114&gt;$E$4,"",$B$4+114-1)</f>
        <v/>
      </c>
      <c r="B125" s="61" t="str">
        <f t="shared" si="15"/>
        <v/>
      </c>
      <c r="C125" s="60" t="str">
        <f>IF($A125="","",SUMIFS('Income Schedule'!$C:$C,'Income Schedule'!$A:$A,$A125))</f>
        <v/>
      </c>
      <c r="D125" s="60" t="str">
        <f>IF($A125="","",SUMIFS('Upcoming Bills'!$C:$C,'Upcoming Bills'!$B:$B,$A125))</f>
        <v/>
      </c>
      <c r="E125" s="60" t="str">
        <f t="shared" si="16"/>
        <v/>
      </c>
      <c r="F125" s="60" t="str">
        <f t="shared" si="19"/>
        <v/>
      </c>
      <c r="G125" s="61" t="str">
        <f t="shared" si="17"/>
        <v/>
      </c>
      <c r="H125" s="4" t="e">
        <f t="shared" si="18"/>
        <v>#N/A</v>
      </c>
    </row>
    <row r="126" spans="1:8" x14ac:dyDescent="0.3">
      <c r="A126" s="55" t="str">
        <f>IF(115&gt;$E$4,"",$B$4+115-1)</f>
        <v/>
      </c>
      <c r="B126" s="57" t="str">
        <f t="shared" si="15"/>
        <v/>
      </c>
      <c r="C126" s="56" t="str">
        <f>IF($A126="","",SUMIFS('Income Schedule'!$C:$C,'Income Schedule'!$A:$A,$A126))</f>
        <v/>
      </c>
      <c r="D126" s="56" t="str">
        <f>IF($A126="","",SUMIFS('Upcoming Bills'!$C:$C,'Upcoming Bills'!$B:$B,$A126))</f>
        <v/>
      </c>
      <c r="E126" s="56" t="str">
        <f t="shared" si="16"/>
        <v/>
      </c>
      <c r="F126" s="56" t="str">
        <f t="shared" si="19"/>
        <v/>
      </c>
      <c r="G126" s="57" t="str">
        <f t="shared" si="17"/>
        <v/>
      </c>
      <c r="H126" s="4" t="e">
        <f t="shared" si="18"/>
        <v>#N/A</v>
      </c>
    </row>
    <row r="127" spans="1:8" x14ac:dyDescent="0.3">
      <c r="A127" s="59" t="str">
        <f>IF(116&gt;$E$4,"",$B$4+116-1)</f>
        <v/>
      </c>
      <c r="B127" s="61" t="str">
        <f t="shared" si="15"/>
        <v/>
      </c>
      <c r="C127" s="60" t="str">
        <f>IF($A127="","",SUMIFS('Income Schedule'!$C:$C,'Income Schedule'!$A:$A,$A127))</f>
        <v/>
      </c>
      <c r="D127" s="60" t="str">
        <f>IF($A127="","",SUMIFS('Upcoming Bills'!$C:$C,'Upcoming Bills'!$B:$B,$A127))</f>
        <v/>
      </c>
      <c r="E127" s="60" t="str">
        <f t="shared" si="16"/>
        <v/>
      </c>
      <c r="F127" s="60" t="str">
        <f t="shared" si="19"/>
        <v/>
      </c>
      <c r="G127" s="61" t="str">
        <f t="shared" si="17"/>
        <v/>
      </c>
      <c r="H127" s="4" t="e">
        <f t="shared" si="18"/>
        <v>#N/A</v>
      </c>
    </row>
    <row r="128" spans="1:8" x14ac:dyDescent="0.3">
      <c r="A128" s="55" t="str">
        <f>IF(117&gt;$E$4,"",$B$4+117-1)</f>
        <v/>
      </c>
      <c r="B128" s="57" t="str">
        <f t="shared" si="15"/>
        <v/>
      </c>
      <c r="C128" s="56" t="str">
        <f>IF($A128="","",SUMIFS('Income Schedule'!$C:$C,'Income Schedule'!$A:$A,$A128))</f>
        <v/>
      </c>
      <c r="D128" s="56" t="str">
        <f>IF($A128="","",SUMIFS('Upcoming Bills'!$C:$C,'Upcoming Bills'!$B:$B,$A128))</f>
        <v/>
      </c>
      <c r="E128" s="56" t="str">
        <f t="shared" si="16"/>
        <v/>
      </c>
      <c r="F128" s="56" t="str">
        <f t="shared" si="19"/>
        <v/>
      </c>
      <c r="G128" s="57" t="str">
        <f t="shared" si="17"/>
        <v/>
      </c>
      <c r="H128" s="4" t="e">
        <f t="shared" si="18"/>
        <v>#N/A</v>
      </c>
    </row>
    <row r="129" spans="1:8" x14ac:dyDescent="0.3">
      <c r="A129" s="59" t="str">
        <f>IF(118&gt;$E$4,"",$B$4+118-1)</f>
        <v/>
      </c>
      <c r="B129" s="61" t="str">
        <f t="shared" si="15"/>
        <v/>
      </c>
      <c r="C129" s="60" t="str">
        <f>IF($A129="","",SUMIFS('Income Schedule'!$C:$C,'Income Schedule'!$A:$A,$A129))</f>
        <v/>
      </c>
      <c r="D129" s="60" t="str">
        <f>IF($A129="","",SUMIFS('Upcoming Bills'!$C:$C,'Upcoming Bills'!$B:$B,$A129))</f>
        <v/>
      </c>
      <c r="E129" s="60" t="str">
        <f t="shared" si="16"/>
        <v/>
      </c>
      <c r="F129" s="60" t="str">
        <f t="shared" si="19"/>
        <v/>
      </c>
      <c r="G129" s="61" t="str">
        <f t="shared" si="17"/>
        <v/>
      </c>
      <c r="H129" s="4" t="e">
        <f t="shared" si="18"/>
        <v>#N/A</v>
      </c>
    </row>
    <row r="130" spans="1:8" x14ac:dyDescent="0.3">
      <c r="A130" s="55" t="str">
        <f>IF(119&gt;$E$4,"",$B$4+119-1)</f>
        <v/>
      </c>
      <c r="B130" s="57" t="str">
        <f t="shared" si="15"/>
        <v/>
      </c>
      <c r="C130" s="56" t="str">
        <f>IF($A130="","",SUMIFS('Income Schedule'!$C:$C,'Income Schedule'!$A:$A,$A130))</f>
        <v/>
      </c>
      <c r="D130" s="56" t="str">
        <f>IF($A130="","",SUMIFS('Upcoming Bills'!$C:$C,'Upcoming Bills'!$B:$B,$A130))</f>
        <v/>
      </c>
      <c r="E130" s="56" t="str">
        <f t="shared" si="16"/>
        <v/>
      </c>
      <c r="F130" s="56" t="str">
        <f t="shared" si="19"/>
        <v/>
      </c>
      <c r="G130" s="57" t="str">
        <f t="shared" si="17"/>
        <v/>
      </c>
      <c r="H130" s="4" t="e">
        <f t="shared" si="18"/>
        <v>#N/A</v>
      </c>
    </row>
    <row r="131" spans="1:8" x14ac:dyDescent="0.3">
      <c r="A131" s="59" t="str">
        <f>IF(120&gt;$E$4,"",$B$4+120-1)</f>
        <v/>
      </c>
      <c r="B131" s="61" t="str">
        <f t="shared" si="15"/>
        <v/>
      </c>
      <c r="C131" s="60" t="str">
        <f>IF($A131="","",SUMIFS('Income Schedule'!$C:$C,'Income Schedule'!$A:$A,$A131))</f>
        <v/>
      </c>
      <c r="D131" s="60" t="str">
        <f>IF($A131="","",SUMIFS('Upcoming Bills'!$C:$C,'Upcoming Bills'!$B:$B,$A131))</f>
        <v/>
      </c>
      <c r="E131" s="60" t="str">
        <f t="shared" si="16"/>
        <v/>
      </c>
      <c r="F131" s="60" t="str">
        <f t="shared" si="19"/>
        <v/>
      </c>
      <c r="G131" s="61" t="str">
        <f t="shared" si="17"/>
        <v/>
      </c>
      <c r="H131" s="4" t="e">
        <f t="shared" si="18"/>
        <v>#N/A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Setup</vt:lpstr>
      <vt:lpstr>Mental Allocations</vt:lpstr>
      <vt:lpstr>Periods 26-25</vt:lpstr>
      <vt:lpstr>Income Schedule</vt:lpstr>
      <vt:lpstr>Transactions</vt:lpstr>
      <vt:lpstr>Bills Schedule</vt:lpstr>
      <vt:lpstr>Budget by Period</vt:lpstr>
      <vt:lpstr>Dashboard</vt:lpstr>
      <vt:lpstr>How to Use</vt:lpstr>
      <vt:lpstr>Upcoming Bills</vt:lpstr>
      <vt:lpstr>Upcoming Income</vt:lpstr>
      <vt:lpstr>Cashflow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Owusu</cp:lastModifiedBy>
  <dcterms:created xsi:type="dcterms:W3CDTF">2025-12-19T09:33:02Z</dcterms:created>
  <dcterms:modified xsi:type="dcterms:W3CDTF">2025-12-30T22:05:33Z</dcterms:modified>
</cp:coreProperties>
</file>